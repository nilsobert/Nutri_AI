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48B243E-2792-4E95-BFC9-9172CD2AAC8B}" xr6:coauthVersionLast="47" xr6:coauthVersionMax="47" xr10:uidLastSave="{00000000-0000-0000-0000-000000000000}"/>
  <bookViews>
    <workbookView xWindow="9510" yWindow="0" windowWidth="9780" windowHeight="10170" xr2:uid="{CE8B5562-0127-478B-AABD-E5DB2FD83340}"/>
  </bookViews>
  <sheets>
    <sheet name="Photo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" l="1"/>
  <c r="U5" i="1"/>
  <c r="U4" i="1"/>
  <c r="U3" i="1"/>
  <c r="V3" i="1"/>
  <c r="M6" i="1"/>
  <c r="M5" i="1"/>
  <c r="M4" i="1"/>
  <c r="M3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N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3" i="1"/>
  <c r="N4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W3" i="1" l="1"/>
  <c r="X3" i="1"/>
  <c r="Y3" i="1"/>
  <c r="X6" i="1"/>
  <c r="Y6" i="1"/>
  <c r="X5" i="1"/>
  <c r="W4" i="1"/>
  <c r="X4" i="1"/>
  <c r="Y5" i="1"/>
  <c r="V6" i="1"/>
  <c r="V5" i="1"/>
  <c r="W5" i="1"/>
  <c r="V4" i="1"/>
  <c r="W6" i="1"/>
  <c r="Y4" i="1"/>
</calcChain>
</file>

<file path=xl/sharedStrings.xml><?xml version="1.0" encoding="utf-8"?>
<sst xmlns="http://schemas.openxmlformats.org/spreadsheetml/2006/main" count="112" uniqueCount="22">
  <si>
    <t>Calories</t>
  </si>
  <si>
    <t>Carbohydrates</t>
  </si>
  <si>
    <t>Protein</t>
  </si>
  <si>
    <t>Fat</t>
  </si>
  <si>
    <t>arise</t>
  </si>
  <si>
    <t>Calorix AI</t>
  </si>
  <si>
    <t>Calorie Cue AI</t>
  </si>
  <si>
    <t>Soma</t>
  </si>
  <si>
    <t>Média</t>
  </si>
  <si>
    <t>Total Corrente</t>
  </si>
  <si>
    <t>Contar</t>
  </si>
  <si>
    <t>Meal</t>
  </si>
  <si>
    <t>GT</t>
  </si>
  <si>
    <t>Nutrients</t>
  </si>
  <si>
    <t>GT DEVIATION-MAPE</t>
  </si>
  <si>
    <t>GT DEVIATION-MAPE MEAN</t>
  </si>
  <si>
    <t>Crabohydrates</t>
  </si>
  <si>
    <t>SCATTER PLOT</t>
  </si>
  <si>
    <t>VALUES PER APP</t>
  </si>
  <si>
    <t>Nutri AI- Photo input only</t>
  </si>
  <si>
    <t>Nutri AI-  Photo+ Caption Input</t>
  </si>
  <si>
    <t>Nutri AI-Photo input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</si>
</sst>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9" fontId="0" fillId="0" borderId="0" xfId="1" applyFont="1"/>
    <xf numFmtId="9" fontId="0" fillId="0" borderId="0" xfId="0" applyNumberFormat="1"/>
    <xf numFmtId="0" fontId="0" fillId="0" borderId="1" xfId="0" applyFont="1" applyBorder="1"/>
    <xf numFmtId="0" fontId="0" fillId="3" borderId="1" xfId="0" applyFont="1" applyFill="1" applyBorder="1"/>
    <xf numFmtId="0" fontId="5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4" fillId="2" borderId="4" xfId="0" applyFont="1" applyFill="1" applyBorder="1"/>
    <xf numFmtId="9" fontId="0" fillId="0" borderId="0" xfId="0" applyNumberFormat="1" applyFont="1" applyBorder="1"/>
    <xf numFmtId="9" fontId="0" fillId="3" borderId="0" xfId="0" applyNumberFormat="1" applyFont="1" applyFill="1" applyBorder="1"/>
  </cellXfs>
  <cellStyles count="2">
    <cellStyle name="Normal" xfId="0" builtinId="0"/>
    <cellStyle name="Percentagem" xfId="1" builtinId="5"/>
  </cellStyles>
  <dxfs count="17">
    <dxf>
      <font>
        <strike val="0"/>
        <color rgb="FFFFC000"/>
      </font>
    </dxf>
    <dxf>
      <font>
        <strike val="0"/>
        <color rgb="FFFFC000"/>
      </font>
    </dxf>
    <dxf>
      <font>
        <strike val="0"/>
        <color rgb="FFFFC000"/>
      </font>
    </dxf>
    <dxf>
      <font>
        <strike val="0"/>
        <color rgb="FFFFC000"/>
      </font>
    </dxf>
    <dxf>
      <font>
        <strike val="0"/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8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PhotoInput!$E$1:$E$2</c:f>
              <c:strCache>
                <c:ptCount val="2"/>
                <c:pt idx="1">
                  <c:v>Nutri AI- Photo input only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PhotoInput!$C$3:$C$44</c:f>
              <c:numCache>
                <c:formatCode>General</c:formatCode>
                <c:ptCount val="42"/>
                <c:pt idx="0">
                  <c:v>377</c:v>
                </c:pt>
                <c:pt idx="1">
                  <c:v>42</c:v>
                </c:pt>
                <c:pt idx="2">
                  <c:v>24</c:v>
                </c:pt>
                <c:pt idx="3">
                  <c:v>13</c:v>
                </c:pt>
                <c:pt idx="4">
                  <c:v>385</c:v>
                </c:pt>
                <c:pt idx="5">
                  <c:v>31</c:v>
                </c:pt>
                <c:pt idx="6">
                  <c:v>16</c:v>
                </c:pt>
                <c:pt idx="7">
                  <c:v>8</c:v>
                </c:pt>
                <c:pt idx="8">
                  <c:v>406</c:v>
                </c:pt>
                <c:pt idx="9">
                  <c:v>43</c:v>
                </c:pt>
                <c:pt idx="10">
                  <c:v>7</c:v>
                </c:pt>
                <c:pt idx="11">
                  <c:v>9</c:v>
                </c:pt>
                <c:pt idx="12">
                  <c:v>606</c:v>
                </c:pt>
                <c:pt idx="13">
                  <c:v>71</c:v>
                </c:pt>
                <c:pt idx="14">
                  <c:v>19</c:v>
                </c:pt>
                <c:pt idx="15">
                  <c:v>24</c:v>
                </c:pt>
                <c:pt idx="16">
                  <c:v>228</c:v>
                </c:pt>
                <c:pt idx="17">
                  <c:v>38</c:v>
                </c:pt>
                <c:pt idx="18">
                  <c:v>9</c:v>
                </c:pt>
                <c:pt idx="19">
                  <c:v>6</c:v>
                </c:pt>
                <c:pt idx="20">
                  <c:v>264</c:v>
                </c:pt>
                <c:pt idx="21">
                  <c:v>36</c:v>
                </c:pt>
                <c:pt idx="22">
                  <c:v>7</c:v>
                </c:pt>
                <c:pt idx="23">
                  <c:v>12</c:v>
                </c:pt>
                <c:pt idx="24">
                  <c:v>352</c:v>
                </c:pt>
                <c:pt idx="25">
                  <c:v>46</c:v>
                </c:pt>
                <c:pt idx="26">
                  <c:v>23</c:v>
                </c:pt>
                <c:pt idx="27">
                  <c:v>9</c:v>
                </c:pt>
                <c:pt idx="28">
                  <c:v>254</c:v>
                </c:pt>
                <c:pt idx="29">
                  <c:v>33.5</c:v>
                </c:pt>
                <c:pt idx="30">
                  <c:v>28</c:v>
                </c:pt>
                <c:pt idx="31">
                  <c:v>2.5</c:v>
                </c:pt>
                <c:pt idx="32">
                  <c:v>355</c:v>
                </c:pt>
                <c:pt idx="33">
                  <c:v>31</c:v>
                </c:pt>
                <c:pt idx="34">
                  <c:v>17</c:v>
                </c:pt>
                <c:pt idx="35">
                  <c:v>19</c:v>
                </c:pt>
                <c:pt idx="36">
                  <c:v>380</c:v>
                </c:pt>
                <c:pt idx="37">
                  <c:v>32</c:v>
                </c:pt>
                <c:pt idx="38">
                  <c:v>15</c:v>
                </c:pt>
                <c:pt idx="39">
                  <c:v>22</c:v>
                </c:pt>
              </c:numCache>
            </c:numRef>
          </c:xVal>
          <c:yVal>
            <c:numRef>
              <c:f>PhotoInput!$E$3:$E$44</c:f>
              <c:numCache>
                <c:formatCode>General</c:formatCode>
                <c:ptCount val="42"/>
                <c:pt idx="0">
                  <c:v>520</c:v>
                </c:pt>
                <c:pt idx="1">
                  <c:v>62</c:v>
                </c:pt>
                <c:pt idx="2">
                  <c:v>38</c:v>
                </c:pt>
                <c:pt idx="3">
                  <c:v>14</c:v>
                </c:pt>
                <c:pt idx="4">
                  <c:v>320</c:v>
                </c:pt>
                <c:pt idx="5">
                  <c:v>26</c:v>
                </c:pt>
                <c:pt idx="6">
                  <c:v>14</c:v>
                </c:pt>
                <c:pt idx="7">
                  <c:v>18</c:v>
                </c:pt>
                <c:pt idx="8">
                  <c:v>420</c:v>
                </c:pt>
                <c:pt idx="9">
                  <c:v>70</c:v>
                </c:pt>
                <c:pt idx="10">
                  <c:v>14</c:v>
                </c:pt>
                <c:pt idx="11">
                  <c:v>8</c:v>
                </c:pt>
                <c:pt idx="12">
                  <c:v>420</c:v>
                </c:pt>
                <c:pt idx="13">
                  <c:v>75</c:v>
                </c:pt>
                <c:pt idx="14">
                  <c:v>14</c:v>
                </c:pt>
                <c:pt idx="15">
                  <c:v>8</c:v>
                </c:pt>
                <c:pt idx="16">
                  <c:v>525</c:v>
                </c:pt>
                <c:pt idx="17">
                  <c:v>95</c:v>
                </c:pt>
                <c:pt idx="18">
                  <c:v>12</c:v>
                </c:pt>
                <c:pt idx="19">
                  <c:v>10</c:v>
                </c:pt>
                <c:pt idx="20">
                  <c:v>280</c:v>
                </c:pt>
                <c:pt idx="21">
                  <c:v>30</c:v>
                </c:pt>
                <c:pt idx="22">
                  <c:v>6</c:v>
                </c:pt>
                <c:pt idx="23">
                  <c:v>16</c:v>
                </c:pt>
                <c:pt idx="24">
                  <c:v>380</c:v>
                </c:pt>
                <c:pt idx="25">
                  <c:v>62</c:v>
                </c:pt>
                <c:pt idx="26">
                  <c:v>8</c:v>
                </c:pt>
                <c:pt idx="27">
                  <c:v>12</c:v>
                </c:pt>
                <c:pt idx="28">
                  <c:v>120</c:v>
                </c:pt>
                <c:pt idx="29">
                  <c:v>0</c:v>
                </c:pt>
                <c:pt idx="30">
                  <c:v>24</c:v>
                </c:pt>
                <c:pt idx="31">
                  <c:v>1.5</c:v>
                </c:pt>
                <c:pt idx="32">
                  <c:v>840</c:v>
                </c:pt>
                <c:pt idx="33">
                  <c:v>108</c:v>
                </c:pt>
                <c:pt idx="34">
                  <c:v>36</c:v>
                </c:pt>
                <c:pt idx="35">
                  <c:v>28</c:v>
                </c:pt>
                <c:pt idx="36">
                  <c:v>320</c:v>
                </c:pt>
                <c:pt idx="37">
                  <c:v>45</c:v>
                </c:pt>
                <c:pt idx="38">
                  <c:v>14</c:v>
                </c:pt>
                <c:pt idx="3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50-4A00-A59A-A173C2956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808688"/>
        <c:axId val="1766806288"/>
      </c:scatterChart>
      <c:valAx>
        <c:axId val="176680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6806288"/>
        <c:crosses val="autoZero"/>
        <c:crossBetween val="midCat"/>
      </c:valAx>
      <c:valAx>
        <c:axId val="176680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680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PhotoInput!$F$1:$F$2</c:f>
              <c:strCache>
                <c:ptCount val="2"/>
                <c:pt idx="1">
                  <c:v>arise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PhotoInput!$C$3:$C$44</c:f>
              <c:numCache>
                <c:formatCode>General</c:formatCode>
                <c:ptCount val="42"/>
                <c:pt idx="0">
                  <c:v>377</c:v>
                </c:pt>
                <c:pt idx="1">
                  <c:v>42</c:v>
                </c:pt>
                <c:pt idx="2">
                  <c:v>24</c:v>
                </c:pt>
                <c:pt idx="3">
                  <c:v>13</c:v>
                </c:pt>
                <c:pt idx="4">
                  <c:v>385</c:v>
                </c:pt>
                <c:pt idx="5">
                  <c:v>31</c:v>
                </c:pt>
                <c:pt idx="6">
                  <c:v>16</c:v>
                </c:pt>
                <c:pt idx="7">
                  <c:v>8</c:v>
                </c:pt>
                <c:pt idx="8">
                  <c:v>406</c:v>
                </c:pt>
                <c:pt idx="9">
                  <c:v>43</c:v>
                </c:pt>
                <c:pt idx="10">
                  <c:v>7</c:v>
                </c:pt>
                <c:pt idx="11">
                  <c:v>9</c:v>
                </c:pt>
                <c:pt idx="12">
                  <c:v>606</c:v>
                </c:pt>
                <c:pt idx="13">
                  <c:v>71</c:v>
                </c:pt>
                <c:pt idx="14">
                  <c:v>19</c:v>
                </c:pt>
                <c:pt idx="15">
                  <c:v>24</c:v>
                </c:pt>
                <c:pt idx="16">
                  <c:v>228</c:v>
                </c:pt>
                <c:pt idx="17">
                  <c:v>38</c:v>
                </c:pt>
                <c:pt idx="18">
                  <c:v>9</c:v>
                </c:pt>
                <c:pt idx="19">
                  <c:v>6</c:v>
                </c:pt>
                <c:pt idx="20">
                  <c:v>264</c:v>
                </c:pt>
                <c:pt idx="21">
                  <c:v>36</c:v>
                </c:pt>
                <c:pt idx="22">
                  <c:v>7</c:v>
                </c:pt>
                <c:pt idx="23">
                  <c:v>12</c:v>
                </c:pt>
                <c:pt idx="24">
                  <c:v>352</c:v>
                </c:pt>
                <c:pt idx="25">
                  <c:v>46</c:v>
                </c:pt>
                <c:pt idx="26">
                  <c:v>23</c:v>
                </c:pt>
                <c:pt idx="27">
                  <c:v>9</c:v>
                </c:pt>
                <c:pt idx="28">
                  <c:v>254</c:v>
                </c:pt>
                <c:pt idx="29">
                  <c:v>33.5</c:v>
                </c:pt>
                <c:pt idx="30">
                  <c:v>28</c:v>
                </c:pt>
                <c:pt idx="31">
                  <c:v>2.5</c:v>
                </c:pt>
                <c:pt idx="32">
                  <c:v>355</c:v>
                </c:pt>
                <c:pt idx="33">
                  <c:v>31</c:v>
                </c:pt>
                <c:pt idx="34">
                  <c:v>17</c:v>
                </c:pt>
                <c:pt idx="35">
                  <c:v>19</c:v>
                </c:pt>
                <c:pt idx="36">
                  <c:v>380</c:v>
                </c:pt>
                <c:pt idx="37">
                  <c:v>32</c:v>
                </c:pt>
                <c:pt idx="38">
                  <c:v>15</c:v>
                </c:pt>
                <c:pt idx="39">
                  <c:v>22</c:v>
                </c:pt>
              </c:numCache>
            </c:numRef>
          </c:xVal>
          <c:yVal>
            <c:numRef>
              <c:f>PhotoInput!$F$3:$F$44</c:f>
              <c:numCache>
                <c:formatCode>General</c:formatCode>
                <c:ptCount val="42"/>
                <c:pt idx="0">
                  <c:v>599</c:v>
                </c:pt>
                <c:pt idx="1">
                  <c:v>43</c:v>
                </c:pt>
                <c:pt idx="2">
                  <c:v>41</c:v>
                </c:pt>
                <c:pt idx="3">
                  <c:v>30</c:v>
                </c:pt>
                <c:pt idx="4">
                  <c:v>348</c:v>
                </c:pt>
                <c:pt idx="5">
                  <c:v>30</c:v>
                </c:pt>
                <c:pt idx="6">
                  <c:v>14</c:v>
                </c:pt>
                <c:pt idx="7">
                  <c:v>21</c:v>
                </c:pt>
                <c:pt idx="8">
                  <c:v>586</c:v>
                </c:pt>
                <c:pt idx="9">
                  <c:v>50</c:v>
                </c:pt>
                <c:pt idx="10">
                  <c:v>31</c:v>
                </c:pt>
                <c:pt idx="11">
                  <c:v>29</c:v>
                </c:pt>
                <c:pt idx="12">
                  <c:v>538</c:v>
                </c:pt>
                <c:pt idx="13">
                  <c:v>53</c:v>
                </c:pt>
                <c:pt idx="14">
                  <c:v>12</c:v>
                </c:pt>
                <c:pt idx="15">
                  <c:v>32</c:v>
                </c:pt>
                <c:pt idx="16">
                  <c:v>581</c:v>
                </c:pt>
                <c:pt idx="17">
                  <c:v>84</c:v>
                </c:pt>
                <c:pt idx="18">
                  <c:v>12</c:v>
                </c:pt>
                <c:pt idx="19">
                  <c:v>22</c:v>
                </c:pt>
                <c:pt idx="20">
                  <c:v>381</c:v>
                </c:pt>
                <c:pt idx="21">
                  <c:v>42</c:v>
                </c:pt>
                <c:pt idx="22">
                  <c:v>8.6999999999999993</c:v>
                </c:pt>
                <c:pt idx="23">
                  <c:v>22</c:v>
                </c:pt>
                <c:pt idx="24">
                  <c:v>383</c:v>
                </c:pt>
                <c:pt idx="25">
                  <c:v>34</c:v>
                </c:pt>
                <c:pt idx="26">
                  <c:v>34</c:v>
                </c:pt>
                <c:pt idx="27">
                  <c:v>14</c:v>
                </c:pt>
                <c:pt idx="28">
                  <c:v>422</c:v>
                </c:pt>
                <c:pt idx="29">
                  <c:v>33</c:v>
                </c:pt>
                <c:pt idx="30">
                  <c:v>35</c:v>
                </c:pt>
                <c:pt idx="31">
                  <c:v>16</c:v>
                </c:pt>
                <c:pt idx="32">
                  <c:v>706</c:v>
                </c:pt>
                <c:pt idx="33">
                  <c:v>88</c:v>
                </c:pt>
                <c:pt idx="34">
                  <c:v>38</c:v>
                </c:pt>
                <c:pt idx="35">
                  <c:v>23</c:v>
                </c:pt>
                <c:pt idx="36">
                  <c:v>406</c:v>
                </c:pt>
                <c:pt idx="37">
                  <c:v>46</c:v>
                </c:pt>
                <c:pt idx="38">
                  <c:v>21</c:v>
                </c:pt>
                <c:pt idx="39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08-4265-A33E-E41B7664F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319712"/>
        <c:axId val="1768318272"/>
      </c:scatterChart>
      <c:valAx>
        <c:axId val="176831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8318272"/>
        <c:crosses val="autoZero"/>
        <c:crossBetween val="midCat"/>
      </c:valAx>
      <c:valAx>
        <c:axId val="176831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831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PhotoInput!$G$1:$G$2</c:f>
              <c:strCache>
                <c:ptCount val="2"/>
                <c:pt idx="1">
                  <c:v>Calorix AI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PhotoInput!$C$3:$C$44</c:f>
              <c:numCache>
                <c:formatCode>General</c:formatCode>
                <c:ptCount val="42"/>
                <c:pt idx="0">
                  <c:v>377</c:v>
                </c:pt>
                <c:pt idx="1">
                  <c:v>42</c:v>
                </c:pt>
                <c:pt idx="2">
                  <c:v>24</c:v>
                </c:pt>
                <c:pt idx="3">
                  <c:v>13</c:v>
                </c:pt>
                <c:pt idx="4">
                  <c:v>385</c:v>
                </c:pt>
                <c:pt idx="5">
                  <c:v>31</c:v>
                </c:pt>
                <c:pt idx="6">
                  <c:v>16</c:v>
                </c:pt>
                <c:pt idx="7">
                  <c:v>8</c:v>
                </c:pt>
                <c:pt idx="8">
                  <c:v>406</c:v>
                </c:pt>
                <c:pt idx="9">
                  <c:v>43</c:v>
                </c:pt>
                <c:pt idx="10">
                  <c:v>7</c:v>
                </c:pt>
                <c:pt idx="11">
                  <c:v>9</c:v>
                </c:pt>
                <c:pt idx="12">
                  <c:v>606</c:v>
                </c:pt>
                <c:pt idx="13">
                  <c:v>71</c:v>
                </c:pt>
                <c:pt idx="14">
                  <c:v>19</c:v>
                </c:pt>
                <c:pt idx="15">
                  <c:v>24</c:v>
                </c:pt>
                <c:pt idx="16">
                  <c:v>228</c:v>
                </c:pt>
                <c:pt idx="17">
                  <c:v>38</c:v>
                </c:pt>
                <c:pt idx="18">
                  <c:v>9</c:v>
                </c:pt>
                <c:pt idx="19">
                  <c:v>6</c:v>
                </c:pt>
                <c:pt idx="20">
                  <c:v>264</c:v>
                </c:pt>
                <c:pt idx="21">
                  <c:v>36</c:v>
                </c:pt>
                <c:pt idx="22">
                  <c:v>7</c:v>
                </c:pt>
                <c:pt idx="23">
                  <c:v>12</c:v>
                </c:pt>
                <c:pt idx="24">
                  <c:v>352</c:v>
                </c:pt>
                <c:pt idx="25">
                  <c:v>46</c:v>
                </c:pt>
                <c:pt idx="26">
                  <c:v>23</c:v>
                </c:pt>
                <c:pt idx="27">
                  <c:v>9</c:v>
                </c:pt>
                <c:pt idx="28">
                  <c:v>254</c:v>
                </c:pt>
                <c:pt idx="29">
                  <c:v>33.5</c:v>
                </c:pt>
                <c:pt idx="30">
                  <c:v>28</c:v>
                </c:pt>
                <c:pt idx="31">
                  <c:v>2.5</c:v>
                </c:pt>
                <c:pt idx="32">
                  <c:v>355</c:v>
                </c:pt>
                <c:pt idx="33">
                  <c:v>31</c:v>
                </c:pt>
                <c:pt idx="34">
                  <c:v>17</c:v>
                </c:pt>
                <c:pt idx="35">
                  <c:v>19</c:v>
                </c:pt>
                <c:pt idx="36">
                  <c:v>380</c:v>
                </c:pt>
                <c:pt idx="37">
                  <c:v>32</c:v>
                </c:pt>
                <c:pt idx="38">
                  <c:v>15</c:v>
                </c:pt>
                <c:pt idx="39">
                  <c:v>22</c:v>
                </c:pt>
              </c:numCache>
            </c:numRef>
          </c:xVal>
          <c:yVal>
            <c:numRef>
              <c:f>PhotoInput!$G$3:$G$44</c:f>
              <c:numCache>
                <c:formatCode>General</c:formatCode>
                <c:ptCount val="42"/>
                <c:pt idx="0">
                  <c:v>470</c:v>
                </c:pt>
                <c:pt idx="1">
                  <c:v>35</c:v>
                </c:pt>
                <c:pt idx="2">
                  <c:v>27</c:v>
                </c:pt>
                <c:pt idx="3">
                  <c:v>22</c:v>
                </c:pt>
                <c:pt idx="4">
                  <c:v>327</c:v>
                </c:pt>
                <c:pt idx="5">
                  <c:v>31</c:v>
                </c:pt>
                <c:pt idx="6">
                  <c:v>20</c:v>
                </c:pt>
                <c:pt idx="7">
                  <c:v>18</c:v>
                </c:pt>
                <c:pt idx="8">
                  <c:v>520</c:v>
                </c:pt>
                <c:pt idx="9">
                  <c:v>42</c:v>
                </c:pt>
                <c:pt idx="10">
                  <c:v>27</c:v>
                </c:pt>
                <c:pt idx="11">
                  <c:v>28</c:v>
                </c:pt>
                <c:pt idx="12">
                  <c:v>450</c:v>
                </c:pt>
                <c:pt idx="13">
                  <c:v>41</c:v>
                </c:pt>
                <c:pt idx="14">
                  <c:v>18</c:v>
                </c:pt>
                <c:pt idx="15">
                  <c:v>24</c:v>
                </c:pt>
                <c:pt idx="16">
                  <c:v>455</c:v>
                </c:pt>
                <c:pt idx="17">
                  <c:v>68</c:v>
                </c:pt>
                <c:pt idx="18">
                  <c:v>8</c:v>
                </c:pt>
                <c:pt idx="19">
                  <c:v>19</c:v>
                </c:pt>
                <c:pt idx="20">
                  <c:v>329</c:v>
                </c:pt>
                <c:pt idx="21">
                  <c:v>26</c:v>
                </c:pt>
                <c:pt idx="22">
                  <c:v>5</c:v>
                </c:pt>
                <c:pt idx="23">
                  <c:v>16</c:v>
                </c:pt>
                <c:pt idx="24">
                  <c:v>325</c:v>
                </c:pt>
                <c:pt idx="25">
                  <c:v>46</c:v>
                </c:pt>
                <c:pt idx="26">
                  <c:v>9</c:v>
                </c:pt>
                <c:pt idx="27">
                  <c:v>14</c:v>
                </c:pt>
                <c:pt idx="28">
                  <c:v>351</c:v>
                </c:pt>
                <c:pt idx="29">
                  <c:v>30</c:v>
                </c:pt>
                <c:pt idx="30">
                  <c:v>22</c:v>
                </c:pt>
                <c:pt idx="31">
                  <c:v>9</c:v>
                </c:pt>
                <c:pt idx="32">
                  <c:v>710</c:v>
                </c:pt>
                <c:pt idx="33">
                  <c:v>94</c:v>
                </c:pt>
                <c:pt idx="34">
                  <c:v>31</c:v>
                </c:pt>
                <c:pt idx="35">
                  <c:v>27</c:v>
                </c:pt>
                <c:pt idx="36">
                  <c:v>320</c:v>
                </c:pt>
                <c:pt idx="37">
                  <c:v>34</c:v>
                </c:pt>
                <c:pt idx="38">
                  <c:v>15</c:v>
                </c:pt>
                <c:pt idx="39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39-47F5-9D51-5FB98002B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621520"/>
        <c:axId val="346622000"/>
      </c:scatterChart>
      <c:valAx>
        <c:axId val="34662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46622000"/>
        <c:crosses val="autoZero"/>
        <c:crossBetween val="midCat"/>
      </c:valAx>
      <c:valAx>
        <c:axId val="34662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4662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PhotoInput!$H$1:$H$2</c:f>
              <c:strCache>
                <c:ptCount val="2"/>
                <c:pt idx="1">
                  <c:v>Calorie Cue AI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PhotoInput!$C$3:$C$44</c:f>
              <c:numCache>
                <c:formatCode>General</c:formatCode>
                <c:ptCount val="42"/>
                <c:pt idx="0">
                  <c:v>377</c:v>
                </c:pt>
                <c:pt idx="1">
                  <c:v>42</c:v>
                </c:pt>
                <c:pt idx="2">
                  <c:v>24</c:v>
                </c:pt>
                <c:pt idx="3">
                  <c:v>13</c:v>
                </c:pt>
                <c:pt idx="4">
                  <c:v>385</c:v>
                </c:pt>
                <c:pt idx="5">
                  <c:v>31</c:v>
                </c:pt>
                <c:pt idx="6">
                  <c:v>16</c:v>
                </c:pt>
                <c:pt idx="7">
                  <c:v>8</c:v>
                </c:pt>
                <c:pt idx="8">
                  <c:v>406</c:v>
                </c:pt>
                <c:pt idx="9">
                  <c:v>43</c:v>
                </c:pt>
                <c:pt idx="10">
                  <c:v>7</c:v>
                </c:pt>
                <c:pt idx="11">
                  <c:v>9</c:v>
                </c:pt>
                <c:pt idx="12">
                  <c:v>606</c:v>
                </c:pt>
                <c:pt idx="13">
                  <c:v>71</c:v>
                </c:pt>
                <c:pt idx="14">
                  <c:v>19</c:v>
                </c:pt>
                <c:pt idx="15">
                  <c:v>24</c:v>
                </c:pt>
                <c:pt idx="16">
                  <c:v>228</c:v>
                </c:pt>
                <c:pt idx="17">
                  <c:v>38</c:v>
                </c:pt>
                <c:pt idx="18">
                  <c:v>9</c:v>
                </c:pt>
                <c:pt idx="19">
                  <c:v>6</c:v>
                </c:pt>
                <c:pt idx="20">
                  <c:v>264</c:v>
                </c:pt>
                <c:pt idx="21">
                  <c:v>36</c:v>
                </c:pt>
                <c:pt idx="22">
                  <c:v>7</c:v>
                </c:pt>
                <c:pt idx="23">
                  <c:v>12</c:v>
                </c:pt>
                <c:pt idx="24">
                  <c:v>352</c:v>
                </c:pt>
                <c:pt idx="25">
                  <c:v>46</c:v>
                </c:pt>
                <c:pt idx="26">
                  <c:v>23</c:v>
                </c:pt>
                <c:pt idx="27">
                  <c:v>9</c:v>
                </c:pt>
                <c:pt idx="28">
                  <c:v>254</c:v>
                </c:pt>
                <c:pt idx="29">
                  <c:v>33.5</c:v>
                </c:pt>
                <c:pt idx="30">
                  <c:v>28</c:v>
                </c:pt>
                <c:pt idx="31">
                  <c:v>2.5</c:v>
                </c:pt>
                <c:pt idx="32">
                  <c:v>355</c:v>
                </c:pt>
                <c:pt idx="33">
                  <c:v>31</c:v>
                </c:pt>
                <c:pt idx="34">
                  <c:v>17</c:v>
                </c:pt>
                <c:pt idx="35">
                  <c:v>19</c:v>
                </c:pt>
                <c:pt idx="36">
                  <c:v>380</c:v>
                </c:pt>
                <c:pt idx="37">
                  <c:v>32</c:v>
                </c:pt>
                <c:pt idx="38">
                  <c:v>15</c:v>
                </c:pt>
                <c:pt idx="39">
                  <c:v>22</c:v>
                </c:pt>
              </c:numCache>
            </c:numRef>
          </c:xVal>
          <c:yVal>
            <c:numRef>
              <c:f>PhotoInput!$H$3:$H$44</c:f>
              <c:numCache>
                <c:formatCode>General</c:formatCode>
                <c:ptCount val="42"/>
                <c:pt idx="0">
                  <c:v>453</c:v>
                </c:pt>
                <c:pt idx="1">
                  <c:v>53</c:v>
                </c:pt>
                <c:pt idx="2">
                  <c:v>25</c:v>
                </c:pt>
                <c:pt idx="3">
                  <c:v>14</c:v>
                </c:pt>
                <c:pt idx="4">
                  <c:v>330</c:v>
                </c:pt>
                <c:pt idx="5">
                  <c:v>35</c:v>
                </c:pt>
                <c:pt idx="6">
                  <c:v>13</c:v>
                </c:pt>
                <c:pt idx="7">
                  <c:v>15</c:v>
                </c:pt>
                <c:pt idx="8">
                  <c:v>616</c:v>
                </c:pt>
                <c:pt idx="9">
                  <c:v>60</c:v>
                </c:pt>
                <c:pt idx="10">
                  <c:v>30</c:v>
                </c:pt>
                <c:pt idx="11">
                  <c:v>30</c:v>
                </c:pt>
                <c:pt idx="12">
                  <c:v>292</c:v>
                </c:pt>
                <c:pt idx="13">
                  <c:v>53</c:v>
                </c:pt>
                <c:pt idx="14">
                  <c:v>9</c:v>
                </c:pt>
                <c:pt idx="15">
                  <c:v>6</c:v>
                </c:pt>
                <c:pt idx="16">
                  <c:v>695</c:v>
                </c:pt>
                <c:pt idx="17">
                  <c:v>91</c:v>
                </c:pt>
                <c:pt idx="18">
                  <c:v>15</c:v>
                </c:pt>
                <c:pt idx="19">
                  <c:v>29</c:v>
                </c:pt>
                <c:pt idx="20">
                  <c:v>355</c:v>
                </c:pt>
                <c:pt idx="21">
                  <c:v>36</c:v>
                </c:pt>
                <c:pt idx="22">
                  <c:v>8</c:v>
                </c:pt>
                <c:pt idx="23">
                  <c:v>18</c:v>
                </c:pt>
                <c:pt idx="24">
                  <c:v>545</c:v>
                </c:pt>
                <c:pt idx="25">
                  <c:v>83</c:v>
                </c:pt>
                <c:pt idx="26">
                  <c:v>20</c:v>
                </c:pt>
                <c:pt idx="27">
                  <c:v>15</c:v>
                </c:pt>
                <c:pt idx="28">
                  <c:v>539</c:v>
                </c:pt>
                <c:pt idx="29">
                  <c:v>99</c:v>
                </c:pt>
                <c:pt idx="30">
                  <c:v>33</c:v>
                </c:pt>
                <c:pt idx="31">
                  <c:v>4</c:v>
                </c:pt>
                <c:pt idx="32">
                  <c:v>385</c:v>
                </c:pt>
                <c:pt idx="33">
                  <c:v>27</c:v>
                </c:pt>
                <c:pt idx="34">
                  <c:v>24</c:v>
                </c:pt>
                <c:pt idx="35">
                  <c:v>19</c:v>
                </c:pt>
                <c:pt idx="36">
                  <c:v>342</c:v>
                </c:pt>
                <c:pt idx="37">
                  <c:v>33</c:v>
                </c:pt>
                <c:pt idx="38">
                  <c:v>17</c:v>
                </c:pt>
                <c:pt idx="3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6-4264-9A0C-EABD949C7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624880"/>
        <c:axId val="346621040"/>
      </c:scatterChart>
      <c:valAx>
        <c:axId val="34662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46621040"/>
        <c:crosses val="autoZero"/>
        <c:crossBetween val="midCat"/>
      </c:valAx>
      <c:valAx>
        <c:axId val="3466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4662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PhotoInput!$D$1:$D$2</c:f>
              <c:strCache>
                <c:ptCount val="2"/>
                <c:pt idx="1">
                  <c:v>Nutri AI-  Photo+ Caption Input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PhotoInput!$C$3:$C$43</c:f>
              <c:numCache>
                <c:formatCode>General</c:formatCode>
                <c:ptCount val="41"/>
                <c:pt idx="0">
                  <c:v>377</c:v>
                </c:pt>
                <c:pt idx="1">
                  <c:v>42</c:v>
                </c:pt>
                <c:pt idx="2">
                  <c:v>24</c:v>
                </c:pt>
                <c:pt idx="3">
                  <c:v>13</c:v>
                </c:pt>
                <c:pt idx="4">
                  <c:v>385</c:v>
                </c:pt>
                <c:pt idx="5">
                  <c:v>31</c:v>
                </c:pt>
                <c:pt idx="6">
                  <c:v>16</c:v>
                </c:pt>
                <c:pt idx="7">
                  <c:v>8</c:v>
                </c:pt>
                <c:pt idx="8">
                  <c:v>406</c:v>
                </c:pt>
                <c:pt idx="9">
                  <c:v>43</c:v>
                </c:pt>
                <c:pt idx="10">
                  <c:v>7</c:v>
                </c:pt>
                <c:pt idx="11">
                  <c:v>9</c:v>
                </c:pt>
                <c:pt idx="12">
                  <c:v>606</c:v>
                </c:pt>
                <c:pt idx="13">
                  <c:v>71</c:v>
                </c:pt>
                <c:pt idx="14">
                  <c:v>19</c:v>
                </c:pt>
                <c:pt idx="15">
                  <c:v>24</c:v>
                </c:pt>
                <c:pt idx="16">
                  <c:v>228</c:v>
                </c:pt>
                <c:pt idx="17">
                  <c:v>38</c:v>
                </c:pt>
                <c:pt idx="18">
                  <c:v>9</c:v>
                </c:pt>
                <c:pt idx="19">
                  <c:v>6</c:v>
                </c:pt>
                <c:pt idx="20">
                  <c:v>264</c:v>
                </c:pt>
                <c:pt idx="21">
                  <c:v>36</c:v>
                </c:pt>
                <c:pt idx="22">
                  <c:v>7</c:v>
                </c:pt>
                <c:pt idx="23">
                  <c:v>12</c:v>
                </c:pt>
                <c:pt idx="24">
                  <c:v>352</c:v>
                </c:pt>
                <c:pt idx="25">
                  <c:v>46</c:v>
                </c:pt>
                <c:pt idx="26">
                  <c:v>23</c:v>
                </c:pt>
                <c:pt idx="27">
                  <c:v>9</c:v>
                </c:pt>
                <c:pt idx="28">
                  <c:v>254</c:v>
                </c:pt>
                <c:pt idx="29">
                  <c:v>33.5</c:v>
                </c:pt>
                <c:pt idx="30">
                  <c:v>28</c:v>
                </c:pt>
                <c:pt idx="31">
                  <c:v>2.5</c:v>
                </c:pt>
                <c:pt idx="32">
                  <c:v>355</c:v>
                </c:pt>
                <c:pt idx="33">
                  <c:v>31</c:v>
                </c:pt>
                <c:pt idx="34">
                  <c:v>17</c:v>
                </c:pt>
                <c:pt idx="35">
                  <c:v>19</c:v>
                </c:pt>
                <c:pt idx="36">
                  <c:v>380</c:v>
                </c:pt>
                <c:pt idx="37">
                  <c:v>32</c:v>
                </c:pt>
                <c:pt idx="38">
                  <c:v>15</c:v>
                </c:pt>
                <c:pt idx="39">
                  <c:v>22</c:v>
                </c:pt>
              </c:numCache>
            </c:numRef>
          </c:xVal>
          <c:yVal>
            <c:numRef>
              <c:f>PhotoInput!$D$3:$D$43</c:f>
              <c:numCache>
                <c:formatCode>General</c:formatCode>
                <c:ptCount val="41"/>
                <c:pt idx="0">
                  <c:v>520</c:v>
                </c:pt>
                <c:pt idx="1">
                  <c:v>58</c:v>
                </c:pt>
                <c:pt idx="2">
                  <c:v>32</c:v>
                </c:pt>
                <c:pt idx="3">
                  <c:v>18</c:v>
                </c:pt>
                <c:pt idx="4">
                  <c:v>420</c:v>
                </c:pt>
                <c:pt idx="5">
                  <c:v>40</c:v>
                </c:pt>
                <c:pt idx="6">
                  <c:v>18</c:v>
                </c:pt>
                <c:pt idx="7">
                  <c:v>22</c:v>
                </c:pt>
                <c:pt idx="8">
                  <c:v>420</c:v>
                </c:pt>
                <c:pt idx="9">
                  <c:v>58</c:v>
                </c:pt>
                <c:pt idx="10">
                  <c:v>16</c:v>
                </c:pt>
                <c:pt idx="11">
                  <c:v>14</c:v>
                </c:pt>
                <c:pt idx="12">
                  <c:v>380</c:v>
                </c:pt>
                <c:pt idx="13">
                  <c:v>65</c:v>
                </c:pt>
                <c:pt idx="14">
                  <c:v>12</c:v>
                </c:pt>
                <c:pt idx="15">
                  <c:v>8</c:v>
                </c:pt>
                <c:pt idx="16">
                  <c:v>580</c:v>
                </c:pt>
                <c:pt idx="17">
                  <c:v>80</c:v>
                </c:pt>
                <c:pt idx="18">
                  <c:v>16</c:v>
                </c:pt>
                <c:pt idx="19">
                  <c:v>22</c:v>
                </c:pt>
                <c:pt idx="20">
                  <c:v>210</c:v>
                </c:pt>
                <c:pt idx="21">
                  <c:v>22</c:v>
                </c:pt>
                <c:pt idx="22">
                  <c:v>5</c:v>
                </c:pt>
                <c:pt idx="23">
                  <c:v>12</c:v>
                </c:pt>
                <c:pt idx="24">
                  <c:v>320</c:v>
                </c:pt>
                <c:pt idx="25">
                  <c:v>52</c:v>
                </c:pt>
                <c:pt idx="26">
                  <c:v>14</c:v>
                </c:pt>
                <c:pt idx="27">
                  <c:v>8</c:v>
                </c:pt>
                <c:pt idx="28">
                  <c:v>320</c:v>
                </c:pt>
                <c:pt idx="29">
                  <c:v>45</c:v>
                </c:pt>
                <c:pt idx="30">
                  <c:v>28</c:v>
                </c:pt>
                <c:pt idx="31">
                  <c:v>3</c:v>
                </c:pt>
                <c:pt idx="32">
                  <c:v>520</c:v>
                </c:pt>
                <c:pt idx="33">
                  <c:v>75</c:v>
                </c:pt>
                <c:pt idx="34">
                  <c:v>18</c:v>
                </c:pt>
                <c:pt idx="35">
                  <c:v>16</c:v>
                </c:pt>
                <c:pt idx="36">
                  <c:v>380</c:v>
                </c:pt>
                <c:pt idx="37">
                  <c:v>45</c:v>
                </c:pt>
                <c:pt idx="38">
                  <c:v>14</c:v>
                </c:pt>
                <c:pt idx="39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C1-4BE9-93F3-7D3FEC8E4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930512"/>
        <c:axId val="1761930032"/>
      </c:scatterChart>
      <c:valAx>
        <c:axId val="176193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1930032"/>
        <c:crosses val="autoZero"/>
        <c:crossBetween val="midCat"/>
      </c:valAx>
      <c:valAx>
        <c:axId val="176193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193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GT DEVIATION-MAPE 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PhotoInput!$T$3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PhotoInput!$U$1:$Y$2</c:f>
              <c:strCache>
                <c:ptCount val="5"/>
                <c:pt idx="0">
                  <c:v>Nutri AI-  Photo+ Caption Input</c:v>
                </c:pt>
                <c:pt idx="1">
                  <c:v>Nutri AI-Photo input only</c:v>
                </c:pt>
                <c:pt idx="2">
                  <c:v>arise</c:v>
                </c:pt>
                <c:pt idx="3">
                  <c:v>Calorix AI</c:v>
                </c:pt>
                <c:pt idx="4">
                  <c:v>Calorie Cue AI</c:v>
                </c:pt>
              </c:strCache>
            </c:strRef>
          </c:cat>
          <c:val>
            <c:numRef>
              <c:f>PhotoInput!$U$3:$Y$3</c:f>
              <c:numCache>
                <c:formatCode>0%</c:formatCode>
                <c:ptCount val="5"/>
                <c:pt idx="0">
                  <c:v>0.34415849347434974</c:v>
                </c:pt>
                <c:pt idx="1">
                  <c:v>0.48037588598893127</c:v>
                </c:pt>
                <c:pt idx="2">
                  <c:v>0.51060098367243389</c:v>
                </c:pt>
                <c:pt idx="3">
                  <c:v>0.39418341131778145</c:v>
                </c:pt>
                <c:pt idx="4">
                  <c:v>0.58699302269043296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2-440A-9DC1-CC80EF0E689B}"/>
            </c:ext>
          </c:extLst>
        </c:ser>
        <c:ser>
          <c:idx val="1"/>
          <c:order val="1"/>
          <c:tx>
            <c:strRef>
              <c:f>PhotoInput!$T$4</c:f>
              <c:strCache>
                <c:ptCount val="1"/>
                <c:pt idx="0">
                  <c:v>Crabohydrates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PhotoInput!$U$1:$Y$2</c:f>
              <c:strCache>
                <c:ptCount val="5"/>
                <c:pt idx="0">
                  <c:v>Nutri AI-  Photo+ Caption Input</c:v>
                </c:pt>
                <c:pt idx="1">
                  <c:v>Nutri AI-Photo input only</c:v>
                </c:pt>
                <c:pt idx="2">
                  <c:v>arise</c:v>
                </c:pt>
                <c:pt idx="3">
                  <c:v>Calorix AI</c:v>
                </c:pt>
                <c:pt idx="4">
                  <c:v>Calorie Cue AI</c:v>
                </c:pt>
              </c:strCache>
            </c:strRef>
          </c:cat>
          <c:val>
            <c:numRef>
              <c:f>PhotoInput!$U$4:$Y$4</c:f>
              <c:numCache>
                <c:formatCode>0%</c:formatCode>
                <c:ptCount val="5"/>
                <c:pt idx="0">
                  <c:v>0.48980944633449397</c:v>
                </c:pt>
                <c:pt idx="1">
                  <c:v>0.78440809537586431</c:v>
                </c:pt>
                <c:pt idx="2">
                  <c:v>0.47054559381346484</c:v>
                </c:pt>
                <c:pt idx="3">
                  <c:v>0.40012967250607939</c:v>
                </c:pt>
                <c:pt idx="4">
                  <c:v>0.59493308786587717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12-440A-9DC1-CC80EF0E689B}"/>
            </c:ext>
          </c:extLst>
        </c:ser>
        <c:ser>
          <c:idx val="2"/>
          <c:order val="2"/>
          <c:tx>
            <c:strRef>
              <c:f>PhotoInput!$T$5</c:f>
              <c:strCache>
                <c:ptCount val="1"/>
                <c:pt idx="0">
                  <c:v>Protein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PhotoInput!$U$1:$Y$2</c:f>
              <c:strCache>
                <c:ptCount val="5"/>
                <c:pt idx="0">
                  <c:v>Nutri AI-  Photo+ Caption Input</c:v>
                </c:pt>
                <c:pt idx="1">
                  <c:v>Nutri AI-Photo input only</c:v>
                </c:pt>
                <c:pt idx="2">
                  <c:v>arise</c:v>
                </c:pt>
                <c:pt idx="3">
                  <c:v>Calorix AI</c:v>
                </c:pt>
                <c:pt idx="4">
                  <c:v>Calorie Cue AI</c:v>
                </c:pt>
              </c:strCache>
            </c:strRef>
          </c:cat>
          <c:val>
            <c:numRef>
              <c:f>PhotoInput!$U$5:$Y$5</c:f>
              <c:numCache>
                <c:formatCode>0%</c:formatCode>
                <c:ptCount val="5"/>
                <c:pt idx="0">
                  <c:v>0.36927552790757795</c:v>
                </c:pt>
                <c:pt idx="1">
                  <c:v>0.47601881586603617</c:v>
                </c:pt>
                <c:pt idx="2">
                  <c:v>0.81413490389799448</c:v>
                </c:pt>
                <c:pt idx="3">
                  <c:v>0.56026625838063004</c:v>
                </c:pt>
                <c:pt idx="4">
                  <c:v>0.61799640654634613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12-440A-9DC1-CC80EF0E689B}"/>
            </c:ext>
          </c:extLst>
        </c:ser>
        <c:ser>
          <c:idx val="3"/>
          <c:order val="3"/>
          <c:tx>
            <c:strRef>
              <c:f>PhotoInput!$T$6</c:f>
              <c:strCache>
                <c:ptCount val="1"/>
                <c:pt idx="0">
                  <c:v>Fat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PhotoInput!$U$1:$Y$2</c:f>
              <c:strCache>
                <c:ptCount val="5"/>
                <c:pt idx="0">
                  <c:v>Nutri AI-  Photo+ Caption Input</c:v>
                </c:pt>
                <c:pt idx="1">
                  <c:v>Nutri AI-Photo input only</c:v>
                </c:pt>
                <c:pt idx="2">
                  <c:v>arise</c:v>
                </c:pt>
                <c:pt idx="3">
                  <c:v>Calorix AI</c:v>
                </c:pt>
                <c:pt idx="4">
                  <c:v>Calorie Cue AI</c:v>
                </c:pt>
              </c:strCache>
            </c:strRef>
          </c:cat>
          <c:val>
            <c:numRef>
              <c:f>PhotoInput!$U$6:$Y$6</c:f>
              <c:numCache>
                <c:formatCode>0%</c:formatCode>
                <c:ptCount val="5"/>
                <c:pt idx="0">
                  <c:v>0.67652373941847621</c:v>
                </c:pt>
                <c:pt idx="1">
                  <c:v>0.50264884563130174</c:v>
                </c:pt>
                <c:pt idx="2">
                  <c:v>1.6316258627662137</c:v>
                </c:pt>
                <c:pt idx="3">
                  <c:v>1.1289255578729263</c:v>
                </c:pt>
                <c:pt idx="4">
                  <c:v>1.0503820253820253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12-440A-9DC1-CC80EF0E6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0497072"/>
        <c:axId val="480502352"/>
        <c:axId val="478858352"/>
      </c:bar3DChart>
      <c:catAx>
        <c:axId val="4804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80502352"/>
        <c:crosses val="autoZero"/>
        <c:auto val="1"/>
        <c:lblAlgn val="ctr"/>
        <c:lblOffset val="100"/>
        <c:noMultiLvlLbl val="0"/>
      </c:catAx>
      <c:valAx>
        <c:axId val="48050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80497072"/>
        <c:crosses val="autoZero"/>
        <c:crossBetween val="between"/>
      </c:valAx>
      <c:serAx>
        <c:axId val="478858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805023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12700</xdr:colOff>
      <xdr:row>21</xdr:row>
      <xdr:rowOff>158750</xdr:rowOff>
    </xdr:from>
    <xdr:to>
      <xdr:col>27</xdr:col>
      <xdr:colOff>317500</xdr:colOff>
      <xdr:row>36</xdr:row>
      <xdr:rowOff>44450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ABDC1CF-1591-8E8D-C1B9-0866BBBB7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337984</xdr:colOff>
      <xdr:row>38</xdr:row>
      <xdr:rowOff>2663</xdr:rowOff>
    </xdr:from>
    <xdr:to>
      <xdr:col>34</xdr:col>
      <xdr:colOff>28268</xdr:colOff>
      <xdr:row>52</xdr:row>
      <xdr:rowOff>72718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6135FAB-EE46-BB2B-D37C-E88C566F2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522339</xdr:colOff>
      <xdr:row>37</xdr:row>
      <xdr:rowOff>173908</xdr:rowOff>
    </xdr:from>
    <xdr:to>
      <xdr:col>25</xdr:col>
      <xdr:colOff>212623</xdr:colOff>
      <xdr:row>52</xdr:row>
      <xdr:rowOff>59608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B6DE962-6B46-FCE7-C6B1-242FBFF0B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136014</xdr:colOff>
      <xdr:row>38</xdr:row>
      <xdr:rowOff>17821</xdr:rowOff>
    </xdr:from>
    <xdr:to>
      <xdr:col>41</xdr:col>
      <xdr:colOff>445730</xdr:colOff>
      <xdr:row>52</xdr:row>
      <xdr:rowOff>87876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9E45B23-FCB6-E74D-5CDA-ED21B8B54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535653</xdr:colOff>
      <xdr:row>21</xdr:row>
      <xdr:rowOff>133965</xdr:rowOff>
    </xdr:from>
    <xdr:to>
      <xdr:col>35</xdr:col>
      <xdr:colOff>191524</xdr:colOff>
      <xdr:row>36</xdr:row>
      <xdr:rowOff>111842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1D4317D-7136-65E8-BC3E-4D99A8E7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642</xdr:colOff>
      <xdr:row>0</xdr:row>
      <xdr:rowOff>199865</xdr:rowOff>
    </xdr:from>
    <xdr:to>
      <xdr:col>33</xdr:col>
      <xdr:colOff>307238</xdr:colOff>
      <xdr:row>15</xdr:row>
      <xdr:rowOff>101600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32B13B6-DF68-77A0-2390-21C732F8E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90DE64D-93D0-4916-974C-A9C3CF0D375F}" name="Tabela10" displayName="Tabela10" ref="A2:H42" totalsRowShown="0" headerRowDxfId="16">
  <autoFilter ref="A2:H42" xr:uid="{C90DE64D-93D0-4916-974C-A9C3CF0D375F}"/>
  <tableColumns count="8">
    <tableColumn id="1" xr3:uid="{00BFD3AF-C2AD-429F-AC39-8D118B9B94A2}" name="Meal"/>
    <tableColumn id="2" xr3:uid="{6BA88E78-C7A7-4739-8122-447A2EEB6C2D}" name="Nutrients"/>
    <tableColumn id="3" xr3:uid="{286DAC9F-7612-44E8-9DBC-9408F63A25D7}" name="GT"/>
    <tableColumn id="8" xr3:uid="{CE0E2F74-716A-4468-8560-E9457C35CABE}" name="Nutri AI-  Photo+ Caption Input"/>
    <tableColumn id="4" xr3:uid="{18560D42-37F4-4565-A4F9-94DFB2E87017}" name="Nutri AI- Photo input only"/>
    <tableColumn id="5" xr3:uid="{9A76CB93-0F0E-4347-B8AF-57FB6DFC174E}" name="arise"/>
    <tableColumn id="6" xr3:uid="{A9C702B8-B6B9-4819-AB77-8B0CC9A6E3B2}" name="Calorix AI"/>
    <tableColumn id="7" xr3:uid="{52E8CE8C-018B-4501-A59F-907C7D25CA29}" name="Calorie Cue AI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6064623-0629-4A7A-AC5E-A4B16BC8CA38}" name="Tabela11" displayName="Tabela11" ref="K2:Q42" totalsRowShown="0" headerRowDxfId="6" dataDxfId="7" headerRowBorderDxfId="14" tableBorderDxfId="15" dataCellStyle="Percentagem">
  <autoFilter ref="K2:Q42" xr:uid="{06064623-0629-4A7A-AC5E-A4B16BC8CA38}"/>
  <tableColumns count="7">
    <tableColumn id="1" xr3:uid="{79411C1C-42B5-4D8D-ABA8-5BE5BF37E2D4}" name="Meal" dataDxfId="13"/>
    <tableColumn id="2" xr3:uid="{D31A971E-F561-4CA4-A76F-AA8BCBDB9B79}" name="Nutrients" dataDxfId="12"/>
    <tableColumn id="7" xr3:uid="{7E3F577D-2429-47EB-9D6B-10395E1762CB}" name="Nutri AI-  Photo+ Caption Input" dataDxfId="5">
      <calculatedColumnFormula>ABS(Tabela10[[#This Row],[Nutri AI-  Photo+ Caption Input]]-Tabela10[[#This Row],[GT]])/Tabela10[[#This Row],[GT]]</calculatedColumnFormula>
    </tableColumn>
    <tableColumn id="3" xr3:uid="{C29FDA16-D543-4296-B08E-ED59D163D2BA}" name="Nutri AI- Photo input only" dataDxfId="11" dataCellStyle="Percentagem">
      <calculatedColumnFormula>ABS(Tabela10[[#This Row],[Nutri AI- Photo input only]]-Tabela10[[#This Row],[GT]])/Tabela10[[#This Row],[GT]]</calculatedColumnFormula>
    </tableColumn>
    <tableColumn id="4" xr3:uid="{409CBA95-C724-4CF9-9D30-E4CCEEF3FB19}" name="arise" dataDxfId="10" dataCellStyle="Percentagem">
      <calculatedColumnFormula>ABS(Tabela10[[#This Row],[arise]]-Tabela10[[#This Row],[GT]])/Tabela10[[#This Row],[GT]]</calculatedColumnFormula>
    </tableColumn>
    <tableColumn id="5" xr3:uid="{3B1A96E2-53DA-4E27-A988-0B109EF64D05}" name="Calorix AI" dataDxfId="9" dataCellStyle="Percentagem">
      <calculatedColumnFormula>ABS(Tabela10[[#This Row],[Calorix AI]]-Tabela10[[#This Row],[GT]])/Tabela10[[#This Row],[GT]]</calculatedColumnFormula>
    </tableColumn>
    <tableColumn id="6" xr3:uid="{A7ED08C4-9A43-4BD3-A44B-2B0A7B368279}" name="Calorie Cue AI" dataDxfId="8" dataCellStyle="Percentagem">
      <calculatedColumnFormula>ABS(Tabela10[[#This Row],[Calorie Cue AI]]-Tabela10[[#This Row],[GT]])/Tabela10[[#This Row],[GT]]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2648-51A8-4C9F-B0BF-D13F12187538}">
  <sheetPr>
    <tabColor theme="8"/>
  </sheetPr>
  <dimension ref="A1:Y43"/>
  <sheetViews>
    <sheetView tabSelected="1" topLeftCell="Q1" zoomScale="73" zoomScaleNormal="73" workbookViewId="0">
      <selection activeCell="U7" sqref="U7"/>
    </sheetView>
  </sheetViews>
  <sheetFormatPr defaultRowHeight="14.5" x14ac:dyDescent="0.35"/>
  <cols>
    <col min="1" max="1" width="9.54296875" customWidth="1"/>
    <col min="2" max="2" width="12.7265625" bestFit="1" customWidth="1"/>
    <col min="3" max="7" width="9.54296875" customWidth="1"/>
    <col min="8" max="8" width="13.7265625" customWidth="1"/>
    <col min="10" max="10" width="10.08984375" customWidth="1"/>
    <col min="11" max="11" width="9.81640625" customWidth="1"/>
    <col min="12" max="13" width="15" customWidth="1"/>
    <col min="14" max="14" width="9.08984375" customWidth="1"/>
    <col min="16" max="16" width="10.81640625" customWidth="1"/>
    <col min="17" max="17" width="14.7265625" customWidth="1"/>
  </cols>
  <sheetData>
    <row r="1" spans="1:25" s="6" customFormat="1" ht="18.5" x14ac:dyDescent="0.45">
      <c r="A1" s="6" t="s">
        <v>18</v>
      </c>
      <c r="K1" s="6" t="s">
        <v>14</v>
      </c>
      <c r="T1" s="6" t="s">
        <v>15</v>
      </c>
    </row>
    <row r="2" spans="1:25" s="1" customFormat="1" x14ac:dyDescent="0.35">
      <c r="A2" s="1" t="s">
        <v>11</v>
      </c>
      <c r="B2" s="1" t="s">
        <v>13</v>
      </c>
      <c r="C2" s="1" t="s">
        <v>12</v>
      </c>
      <c r="D2" s="1" t="s">
        <v>20</v>
      </c>
      <c r="E2" s="1" t="s">
        <v>19</v>
      </c>
      <c r="F2" s="1" t="s">
        <v>4</v>
      </c>
      <c r="G2" s="1" t="s">
        <v>5</v>
      </c>
      <c r="H2" s="1" t="s">
        <v>6</v>
      </c>
      <c r="K2" s="11" t="s">
        <v>11</v>
      </c>
      <c r="L2" s="11" t="s">
        <v>13</v>
      </c>
      <c r="M2" s="11" t="s">
        <v>20</v>
      </c>
      <c r="N2" s="11" t="s">
        <v>19</v>
      </c>
      <c r="O2" s="11" t="s">
        <v>4</v>
      </c>
      <c r="P2" s="11" t="s">
        <v>5</v>
      </c>
      <c r="Q2" s="12" t="s">
        <v>6</v>
      </c>
      <c r="U2" s="7" t="s">
        <v>20</v>
      </c>
      <c r="V2" s="7" t="s">
        <v>21</v>
      </c>
      <c r="W2" s="7" t="s">
        <v>4</v>
      </c>
      <c r="X2" s="7" t="s">
        <v>5</v>
      </c>
      <c r="Y2" s="8" t="s">
        <v>6</v>
      </c>
    </row>
    <row r="3" spans="1:25" x14ac:dyDescent="0.35">
      <c r="A3" s="1">
        <v>1</v>
      </c>
      <c r="B3" t="s">
        <v>0</v>
      </c>
      <c r="C3">
        <v>377</v>
      </c>
      <c r="D3">
        <v>520</v>
      </c>
      <c r="E3">
        <v>520</v>
      </c>
      <c r="F3">
        <v>599</v>
      </c>
      <c r="G3">
        <v>470</v>
      </c>
      <c r="H3">
        <v>453</v>
      </c>
      <c r="K3" s="9">
        <v>1</v>
      </c>
      <c r="L3" s="5" t="s">
        <v>0</v>
      </c>
      <c r="M3" s="2">
        <f>ABS(Tabela10[[#This Row],[Nutri AI-  Photo+ Caption Input]]-Tabela10[[#This Row],[GT]])/Tabela10[[#This Row],[GT]]</f>
        <v>0.37931034482758619</v>
      </c>
      <c r="N3" s="2">
        <f>ABS(Tabela10[[#This Row],[Nutri AI- Photo input only]]-Tabela10[[#This Row],[GT]])/Tabela10[[#This Row],[GT]]</f>
        <v>0.37931034482758619</v>
      </c>
      <c r="O3" s="2">
        <f>ABS(Tabela10[[#This Row],[arise]]-Tabela10[[#This Row],[GT]])/Tabela10[[#This Row],[GT]]</f>
        <v>0.58885941644562334</v>
      </c>
      <c r="P3" s="2">
        <f>ABS(Tabela10[[#This Row],[Calorix AI]]-Tabela10[[#This Row],[GT]])/Tabela10[[#This Row],[GT]]</f>
        <v>0.24668435013262599</v>
      </c>
      <c r="Q3" s="2">
        <f>ABS(Tabela10[[#This Row],[Calorie Cue AI]]-Tabela10[[#This Row],[GT]])/Tabela10[[#This Row],[GT]]</f>
        <v>0.20159151193633953</v>
      </c>
      <c r="T3" t="s">
        <v>0</v>
      </c>
      <c r="U3" s="3">
        <f>AVERAGE(M3,M7,M11,M15,M19,M23,M27,M31,M35,M39)</f>
        <v>0.34415849347434974</v>
      </c>
      <c r="V3" s="3">
        <f>AVERAGE(Tabela11[[#This Row],[Nutri AI- Photo input only]],N7,N11,N15,N19,N27,N31,N35,N39)</f>
        <v>0.48037588598893127</v>
      </c>
      <c r="W3" s="3">
        <f>AVERAGE(Tabela11[[#This Row],[arise]],O7,O11,O15,O19,O27,O31,O35,O39)</f>
        <v>0.51060098367243389</v>
      </c>
      <c r="X3" s="3">
        <f>AVERAGE(Tabela11[[#This Row],[Calorix AI]],P7,P11,P15,P19,P27,P31,P35,P39)</f>
        <v>0.39418341131778145</v>
      </c>
      <c r="Y3" s="3">
        <f>AVERAGE(Tabela11[[#This Row],[Calorie Cue AI]],Q7,Q11,Q15,Q19,Q27,Q31,Q35,Q39)</f>
        <v>0.58699302269043296</v>
      </c>
    </row>
    <row r="4" spans="1:25" x14ac:dyDescent="0.35">
      <c r="A4" s="1">
        <v>1</v>
      </c>
      <c r="B4" t="s">
        <v>1</v>
      </c>
      <c r="C4">
        <v>42</v>
      </c>
      <c r="D4">
        <v>58</v>
      </c>
      <c r="E4">
        <v>62</v>
      </c>
      <c r="F4">
        <v>43</v>
      </c>
      <c r="G4">
        <v>35</v>
      </c>
      <c r="H4">
        <v>53</v>
      </c>
      <c r="K4" s="10">
        <v>1</v>
      </c>
      <c r="L4" s="4" t="s">
        <v>1</v>
      </c>
      <c r="M4" s="13">
        <f>ABS(Tabela10[[#This Row],[Nutri AI-  Photo+ Caption Input]]-Tabela10[[#This Row],[GT]])/Tabela10[[#This Row],[GT]]</f>
        <v>0.38095238095238093</v>
      </c>
      <c r="N4" s="2">
        <f>ABS(Tabela10[[#This Row],[Nutri AI- Photo input only]]-Tabela10[[#This Row],[GT]])/Tabela10[[#This Row],[GT]]</f>
        <v>0.47619047619047616</v>
      </c>
      <c r="O4" s="2">
        <f>ABS(Tabela10[[#This Row],[arise]]-Tabela10[[#This Row],[GT]])/Tabela10[[#This Row],[GT]]</f>
        <v>2.3809523809523808E-2</v>
      </c>
      <c r="P4" s="2">
        <f>ABS(Tabela10[[#This Row],[Calorix AI]]-Tabela10[[#This Row],[GT]])/Tabela10[[#This Row],[GT]]</f>
        <v>0.16666666666666666</v>
      </c>
      <c r="Q4" s="2">
        <f>ABS(Tabela10[[#This Row],[Calorie Cue AI]]-Tabela10[[#This Row],[GT]])/Tabela10[[#This Row],[GT]]</f>
        <v>0.26190476190476192</v>
      </c>
      <c r="T4" t="s">
        <v>16</v>
      </c>
      <c r="U4" s="3">
        <f>AVERAGE(M4,M8,M12,M16,M20,M24,M28,M32,M36,M40)</f>
        <v>0.48980944633449397</v>
      </c>
      <c r="V4" s="3">
        <f>AVERAGE(Tabela11[[#This Row],[Nutri AI- Photo input only]],N8,N12,N16,N20,N28,N32,N36,N40)</f>
        <v>0.78440809537586431</v>
      </c>
      <c r="W4" s="3">
        <f>AVERAGE(Tabela11[[#This Row],[arise]],O8,O12,O16,O20,O28,O32,O36,O40)</f>
        <v>0.47054559381346484</v>
      </c>
      <c r="X4" s="3">
        <f>AVERAGE(Tabela11[[#This Row],[Calorix AI]],P8,P12,P16,P20,P28,P32,P36,P40)</f>
        <v>0.40012967250607939</v>
      </c>
      <c r="Y4" s="3">
        <f>AVERAGE(Tabela11[[#This Row],[Calorie Cue AI]],Q8,Q12,Q16,Q20,Q28,Q32,Q36,Q40)</f>
        <v>0.59493308786587717</v>
      </c>
    </row>
    <row r="5" spans="1:25" x14ac:dyDescent="0.35">
      <c r="A5" s="1">
        <v>1</v>
      </c>
      <c r="B5" t="s">
        <v>2</v>
      </c>
      <c r="C5">
        <v>24</v>
      </c>
      <c r="D5">
        <v>32</v>
      </c>
      <c r="E5">
        <v>38</v>
      </c>
      <c r="F5">
        <v>41</v>
      </c>
      <c r="G5">
        <v>27</v>
      </c>
      <c r="H5">
        <v>25</v>
      </c>
      <c r="K5" s="9">
        <v>1</v>
      </c>
      <c r="L5" s="5" t="s">
        <v>2</v>
      </c>
      <c r="M5" s="14">
        <f>ABS(Tabela10[[#This Row],[Nutri AI-  Photo+ Caption Input]]-Tabela10[[#This Row],[GT]])/Tabela10[[#This Row],[GT]]</f>
        <v>0.33333333333333331</v>
      </c>
      <c r="N5" s="2">
        <f>ABS(Tabela10[[#This Row],[Nutri AI- Photo input only]]-Tabela10[[#This Row],[GT]])/Tabela10[[#This Row],[GT]]</f>
        <v>0.58333333333333337</v>
      </c>
      <c r="O5" s="2">
        <f>ABS(Tabela10[[#This Row],[arise]]-Tabela10[[#This Row],[GT]])/Tabela10[[#This Row],[GT]]</f>
        <v>0.70833333333333337</v>
      </c>
      <c r="P5" s="2">
        <f>ABS(Tabela10[[#This Row],[Calorix AI]]-Tabela10[[#This Row],[GT]])/Tabela10[[#This Row],[GT]]</f>
        <v>0.125</v>
      </c>
      <c r="Q5" s="2">
        <f>ABS(Tabela10[[#This Row],[Calorie Cue AI]]-Tabela10[[#This Row],[GT]])/Tabela10[[#This Row],[GT]]</f>
        <v>4.1666666666666664E-2</v>
      </c>
      <c r="T5" t="s">
        <v>2</v>
      </c>
      <c r="U5" s="3">
        <f>AVERAGE(M5,M9,M13,M17,M21,M25,M29,M33,M37,M41)</f>
        <v>0.36927552790757795</v>
      </c>
      <c r="V5" s="3">
        <f>AVERAGE(Tabela11[[#This Row],[Nutri AI- Photo input only]],N9,N13,N17,N21,N29,N33,N37,N41)</f>
        <v>0.47601881586603617</v>
      </c>
      <c r="W5" s="3">
        <f>AVERAGE(Tabela11[[#This Row],[arise]],O9,O13,O17,O21,O29,O33,O37,O41)</f>
        <v>0.81413490389799448</v>
      </c>
      <c r="X5" s="3">
        <f>AVERAGE(Tabela11[[#This Row],[Calorix AI]],P9,P13,P17,P21,P29,P33,P37,P41)</f>
        <v>0.56026625838063004</v>
      </c>
      <c r="Y5" s="3">
        <f>AVERAGE(Tabela11[[#This Row],[Calorie Cue AI]],Q9,Q13,Q17,Q21,Q29,Q33,Q37,Q41)</f>
        <v>0.61799640654634613</v>
      </c>
    </row>
    <row r="6" spans="1:25" x14ac:dyDescent="0.35">
      <c r="A6" s="1">
        <v>1</v>
      </c>
      <c r="B6" t="s">
        <v>3</v>
      </c>
      <c r="C6">
        <v>13</v>
      </c>
      <c r="D6">
        <v>18</v>
      </c>
      <c r="E6">
        <v>14</v>
      </c>
      <c r="F6">
        <v>30</v>
      </c>
      <c r="G6">
        <v>22</v>
      </c>
      <c r="H6">
        <v>14</v>
      </c>
      <c r="K6" s="10">
        <v>1</v>
      </c>
      <c r="L6" s="4" t="s">
        <v>3</v>
      </c>
      <c r="M6" s="13">
        <f>ABS(Tabela10[[#This Row],[Nutri AI-  Photo+ Caption Input]]-Tabela10[[#This Row],[GT]])/Tabela10[[#This Row],[GT]]</f>
        <v>0.38461538461538464</v>
      </c>
      <c r="N6" s="2">
        <f>ABS(Tabela10[[#This Row],[Nutri AI- Photo input only]]-Tabela10[[#This Row],[GT]])/Tabela10[[#This Row],[GT]]</f>
        <v>7.6923076923076927E-2</v>
      </c>
      <c r="O6" s="2">
        <f>ABS(Tabela10[[#This Row],[arise]]-Tabela10[[#This Row],[GT]])/Tabela10[[#This Row],[GT]]</f>
        <v>1.3076923076923077</v>
      </c>
      <c r="P6" s="2">
        <f>ABS(Tabela10[[#This Row],[Calorix AI]]-Tabela10[[#This Row],[GT]])/Tabela10[[#This Row],[GT]]</f>
        <v>0.69230769230769229</v>
      </c>
      <c r="Q6" s="2">
        <f>ABS(Tabela10[[#This Row],[Calorie Cue AI]]-Tabela10[[#This Row],[GT]])/Tabela10[[#This Row],[GT]]</f>
        <v>7.6923076923076927E-2</v>
      </c>
      <c r="T6" t="s">
        <v>3</v>
      </c>
      <c r="U6" s="3">
        <f>AVERAGE(M6,M10,M14,M18,M22,M26,M30,M34,M38,M42)</f>
        <v>0.67652373941847621</v>
      </c>
      <c r="V6" s="3">
        <f>AVERAGE(Tabela11[[#This Row],[Nutri AI- Photo input only]],N10,N14,N18,N22,N30,N34,N38,N42)</f>
        <v>0.50264884563130174</v>
      </c>
      <c r="W6" s="3">
        <f>AVERAGE(Tabela11[[#This Row],[arise]],O10,O14,O18,O22,O30,O34,O38,O42)</f>
        <v>1.6316258627662137</v>
      </c>
      <c r="X6" s="3">
        <f>AVERAGE(Tabela11[[#This Row],[Calorix AI]],P10,P14,P18,P22,P30,P34,P38,P42)</f>
        <v>1.1289255578729263</v>
      </c>
      <c r="Y6" s="3">
        <f>AVERAGE(Tabela11[[#This Row],[Calorie Cue AI]],Q10,Q14,Q18,Q22,Q30,Q34,Q38,Q42)</f>
        <v>1.0503820253820253</v>
      </c>
    </row>
    <row r="7" spans="1:25" x14ac:dyDescent="0.35">
      <c r="A7" s="1">
        <v>2</v>
      </c>
      <c r="B7" t="s">
        <v>0</v>
      </c>
      <c r="C7">
        <v>385</v>
      </c>
      <c r="D7">
        <v>420</v>
      </c>
      <c r="E7">
        <v>320</v>
      </c>
      <c r="F7">
        <v>348</v>
      </c>
      <c r="G7">
        <v>327</v>
      </c>
      <c r="H7">
        <v>330</v>
      </c>
      <c r="K7" s="9">
        <v>2</v>
      </c>
      <c r="L7" s="5" t="s">
        <v>0</v>
      </c>
      <c r="M7" s="14">
        <f>ABS(Tabela10[[#This Row],[Nutri AI-  Photo+ Caption Input]]-Tabela10[[#This Row],[GT]])/Tabela10[[#This Row],[GT]]</f>
        <v>9.0909090909090912E-2</v>
      </c>
      <c r="N7" s="2">
        <f>ABS(Tabela10[[#This Row],[Nutri AI- Photo input only]]-Tabela10[[#This Row],[GT]])/Tabela10[[#This Row],[GT]]</f>
        <v>0.16883116883116883</v>
      </c>
      <c r="O7" s="2">
        <f>ABS(Tabela10[[#This Row],[arise]]-Tabela10[[#This Row],[GT]])/Tabela10[[#This Row],[GT]]</f>
        <v>9.6103896103896108E-2</v>
      </c>
      <c r="P7" s="2">
        <f>ABS(Tabela10[[#This Row],[Calorix AI]]-Tabela10[[#This Row],[GT]])/Tabela10[[#This Row],[GT]]</f>
        <v>0.15064935064935064</v>
      </c>
      <c r="Q7" s="2">
        <f>ABS(Tabela10[[#This Row],[Calorie Cue AI]]-Tabela10[[#This Row],[GT]])/Tabela10[[#This Row],[GT]]</f>
        <v>0.14285714285714285</v>
      </c>
    </row>
    <row r="8" spans="1:25" x14ac:dyDescent="0.35">
      <c r="A8" s="1">
        <v>2</v>
      </c>
      <c r="B8" t="s">
        <v>1</v>
      </c>
      <c r="C8">
        <v>31</v>
      </c>
      <c r="D8">
        <v>40</v>
      </c>
      <c r="E8">
        <v>26</v>
      </c>
      <c r="F8">
        <v>30</v>
      </c>
      <c r="G8">
        <v>31</v>
      </c>
      <c r="H8">
        <v>35</v>
      </c>
      <c r="K8" s="10">
        <v>2</v>
      </c>
      <c r="L8" s="4" t="s">
        <v>1</v>
      </c>
      <c r="M8" s="13">
        <f>ABS(Tabela10[[#This Row],[Nutri AI-  Photo+ Caption Input]]-Tabela10[[#This Row],[GT]])/Tabela10[[#This Row],[GT]]</f>
        <v>0.29032258064516131</v>
      </c>
      <c r="N8" s="2">
        <f>ABS(Tabela10[[#This Row],[Nutri AI- Photo input only]]-Tabela10[[#This Row],[GT]])/Tabela10[[#This Row],[GT]]</f>
        <v>0.16129032258064516</v>
      </c>
      <c r="O8" s="2">
        <f>ABS(Tabela10[[#This Row],[arise]]-Tabela10[[#This Row],[GT]])/Tabela10[[#This Row],[GT]]</f>
        <v>3.2258064516129031E-2</v>
      </c>
      <c r="P8" s="2">
        <f>ABS(Tabela10[[#This Row],[Calorix AI]]-Tabela10[[#This Row],[GT]])/Tabela10[[#This Row],[GT]]</f>
        <v>0</v>
      </c>
      <c r="Q8" s="2">
        <f>ABS(Tabela10[[#This Row],[Calorie Cue AI]]-Tabela10[[#This Row],[GT]])/Tabela10[[#This Row],[GT]]</f>
        <v>0.12903225806451613</v>
      </c>
    </row>
    <row r="9" spans="1:25" x14ac:dyDescent="0.35">
      <c r="A9" s="1">
        <v>2</v>
      </c>
      <c r="B9" t="s">
        <v>2</v>
      </c>
      <c r="C9">
        <v>16</v>
      </c>
      <c r="D9">
        <v>18</v>
      </c>
      <c r="E9">
        <v>14</v>
      </c>
      <c r="F9">
        <v>14</v>
      </c>
      <c r="G9">
        <v>20</v>
      </c>
      <c r="H9">
        <v>13</v>
      </c>
      <c r="K9" s="9">
        <v>2</v>
      </c>
      <c r="L9" s="5" t="s">
        <v>2</v>
      </c>
      <c r="M9" s="14">
        <f>ABS(Tabela10[[#This Row],[Nutri AI-  Photo+ Caption Input]]-Tabela10[[#This Row],[GT]])/Tabela10[[#This Row],[GT]]</f>
        <v>0.125</v>
      </c>
      <c r="N9" s="2">
        <f>ABS(Tabela10[[#This Row],[Nutri AI- Photo input only]]-Tabela10[[#This Row],[GT]])/Tabela10[[#This Row],[GT]]</f>
        <v>0.125</v>
      </c>
      <c r="O9" s="2">
        <f>ABS(Tabela10[[#This Row],[arise]]-Tabela10[[#This Row],[GT]])/Tabela10[[#This Row],[GT]]</f>
        <v>0.125</v>
      </c>
      <c r="P9" s="2">
        <f>ABS(Tabela10[[#This Row],[Calorix AI]]-Tabela10[[#This Row],[GT]])/Tabela10[[#This Row],[GT]]</f>
        <v>0.25</v>
      </c>
      <c r="Q9" s="2">
        <f>ABS(Tabela10[[#This Row],[Calorie Cue AI]]-Tabela10[[#This Row],[GT]])/Tabela10[[#This Row],[GT]]</f>
        <v>0.1875</v>
      </c>
    </row>
    <row r="10" spans="1:25" x14ac:dyDescent="0.35">
      <c r="A10" s="1">
        <v>2</v>
      </c>
      <c r="B10" t="s">
        <v>3</v>
      </c>
      <c r="C10">
        <v>8</v>
      </c>
      <c r="D10">
        <v>22</v>
      </c>
      <c r="E10">
        <v>18</v>
      </c>
      <c r="F10">
        <v>21</v>
      </c>
      <c r="G10">
        <v>18</v>
      </c>
      <c r="H10">
        <v>15</v>
      </c>
      <c r="K10" s="10">
        <v>2</v>
      </c>
      <c r="L10" s="4" t="s">
        <v>3</v>
      </c>
      <c r="M10" s="13">
        <f>ABS(Tabela10[[#This Row],[Nutri AI-  Photo+ Caption Input]]-Tabela10[[#This Row],[GT]])/Tabela10[[#This Row],[GT]]</f>
        <v>1.75</v>
      </c>
      <c r="N10" s="2">
        <f>ABS(Tabela10[[#This Row],[Nutri AI- Photo input only]]-Tabela10[[#This Row],[GT]])/Tabela10[[#This Row],[GT]]</f>
        <v>1.25</v>
      </c>
      <c r="O10" s="2">
        <f>ABS(Tabela10[[#This Row],[arise]]-Tabela10[[#This Row],[GT]])/Tabela10[[#This Row],[GT]]</f>
        <v>1.625</v>
      </c>
      <c r="P10" s="2">
        <f>ABS(Tabela10[[#This Row],[Calorix AI]]-Tabela10[[#This Row],[GT]])/Tabela10[[#This Row],[GT]]</f>
        <v>1.25</v>
      </c>
      <c r="Q10" s="2">
        <f>ABS(Tabela10[[#This Row],[Calorie Cue AI]]-Tabela10[[#This Row],[GT]])/Tabela10[[#This Row],[GT]]</f>
        <v>0.875</v>
      </c>
    </row>
    <row r="11" spans="1:25" x14ac:dyDescent="0.35">
      <c r="A11" s="1">
        <v>3</v>
      </c>
      <c r="B11" t="s">
        <v>0</v>
      </c>
      <c r="C11">
        <v>406</v>
      </c>
      <c r="D11">
        <v>420</v>
      </c>
      <c r="E11">
        <v>420</v>
      </c>
      <c r="F11">
        <v>586</v>
      </c>
      <c r="G11">
        <v>520</v>
      </c>
      <c r="H11">
        <v>616</v>
      </c>
      <c r="K11" s="9">
        <v>3</v>
      </c>
      <c r="L11" s="5" t="s">
        <v>0</v>
      </c>
      <c r="M11" s="14">
        <f>ABS(Tabela10[[#This Row],[Nutri AI-  Photo+ Caption Input]]-Tabela10[[#This Row],[GT]])/Tabela10[[#This Row],[GT]]</f>
        <v>3.4482758620689655E-2</v>
      </c>
      <c r="N11" s="2">
        <f>ABS(Tabela10[[#This Row],[Nutri AI- Photo input only]]-Tabela10[[#This Row],[GT]])/Tabela10[[#This Row],[GT]]</f>
        <v>3.4482758620689655E-2</v>
      </c>
      <c r="O11" s="2">
        <f>ABS(Tabela10[[#This Row],[arise]]-Tabela10[[#This Row],[GT]])/Tabela10[[#This Row],[GT]]</f>
        <v>0.44334975369458129</v>
      </c>
      <c r="P11" s="2">
        <f>ABS(Tabela10[[#This Row],[Calorix AI]]-Tabela10[[#This Row],[GT]])/Tabela10[[#This Row],[GT]]</f>
        <v>0.28078817733990147</v>
      </c>
      <c r="Q11" s="2">
        <f>ABS(Tabela10[[#This Row],[Calorie Cue AI]]-Tabela10[[#This Row],[GT]])/Tabela10[[#This Row],[GT]]</f>
        <v>0.51724137931034486</v>
      </c>
    </row>
    <row r="12" spans="1:25" x14ac:dyDescent="0.35">
      <c r="A12" s="1">
        <v>3</v>
      </c>
      <c r="B12" t="s">
        <v>1</v>
      </c>
      <c r="C12">
        <v>43</v>
      </c>
      <c r="D12">
        <v>58</v>
      </c>
      <c r="E12">
        <v>70</v>
      </c>
      <c r="F12">
        <v>50</v>
      </c>
      <c r="G12">
        <v>42</v>
      </c>
      <c r="H12">
        <v>60</v>
      </c>
      <c r="K12" s="10">
        <v>3</v>
      </c>
      <c r="L12" s="4" t="s">
        <v>1</v>
      </c>
      <c r="M12" s="13">
        <f>ABS(Tabela10[[#This Row],[Nutri AI-  Photo+ Caption Input]]-Tabela10[[#This Row],[GT]])/Tabela10[[#This Row],[GT]]</f>
        <v>0.34883720930232559</v>
      </c>
      <c r="N12" s="2">
        <f>ABS(Tabela10[[#This Row],[Nutri AI- Photo input only]]-Tabela10[[#This Row],[GT]])/Tabela10[[#This Row],[GT]]</f>
        <v>0.62790697674418605</v>
      </c>
      <c r="O12" s="2">
        <f>ABS(Tabela10[[#This Row],[arise]]-Tabela10[[#This Row],[GT]])/Tabela10[[#This Row],[GT]]</f>
        <v>0.16279069767441862</v>
      </c>
      <c r="P12" s="2">
        <f>ABS(Tabela10[[#This Row],[Calorix AI]]-Tabela10[[#This Row],[GT]])/Tabela10[[#This Row],[GT]]</f>
        <v>2.3255813953488372E-2</v>
      </c>
      <c r="Q12" s="2">
        <f>ABS(Tabela10[[#This Row],[Calorie Cue AI]]-Tabela10[[#This Row],[GT]])/Tabela10[[#This Row],[GT]]</f>
        <v>0.39534883720930231</v>
      </c>
    </row>
    <row r="13" spans="1:25" x14ac:dyDescent="0.35">
      <c r="A13" s="1">
        <v>3</v>
      </c>
      <c r="B13" t="s">
        <v>2</v>
      </c>
      <c r="C13">
        <v>7</v>
      </c>
      <c r="D13">
        <v>16</v>
      </c>
      <c r="E13">
        <v>14</v>
      </c>
      <c r="F13">
        <v>31</v>
      </c>
      <c r="G13">
        <v>27</v>
      </c>
      <c r="H13">
        <v>30</v>
      </c>
      <c r="K13" s="9">
        <v>3</v>
      </c>
      <c r="L13" s="5" t="s">
        <v>2</v>
      </c>
      <c r="M13" s="14">
        <f>ABS(Tabela10[[#This Row],[Nutri AI-  Photo+ Caption Input]]-Tabela10[[#This Row],[GT]])/Tabela10[[#This Row],[GT]]</f>
        <v>1.2857142857142858</v>
      </c>
      <c r="N13" s="2">
        <f>ABS(Tabela10[[#This Row],[Nutri AI- Photo input only]]-Tabela10[[#This Row],[GT]])/Tabela10[[#This Row],[GT]]</f>
        <v>1</v>
      </c>
      <c r="O13" s="2">
        <f>ABS(Tabela10[[#This Row],[arise]]-Tabela10[[#This Row],[GT]])/Tabela10[[#This Row],[GT]]</f>
        <v>3.4285714285714284</v>
      </c>
      <c r="P13" s="2">
        <f>ABS(Tabela10[[#This Row],[Calorix AI]]-Tabela10[[#This Row],[GT]])/Tabela10[[#This Row],[GT]]</f>
        <v>2.8571428571428572</v>
      </c>
      <c r="Q13" s="2">
        <f>ABS(Tabela10[[#This Row],[Calorie Cue AI]]-Tabela10[[#This Row],[GT]])/Tabela10[[#This Row],[GT]]</f>
        <v>3.2857142857142856</v>
      </c>
    </row>
    <row r="14" spans="1:25" x14ac:dyDescent="0.35">
      <c r="A14" s="1">
        <v>3</v>
      </c>
      <c r="B14" t="s">
        <v>3</v>
      </c>
      <c r="C14">
        <v>9</v>
      </c>
      <c r="D14">
        <v>14</v>
      </c>
      <c r="E14">
        <v>8</v>
      </c>
      <c r="F14">
        <v>29</v>
      </c>
      <c r="G14">
        <v>28</v>
      </c>
      <c r="H14">
        <v>30</v>
      </c>
      <c r="K14" s="10">
        <v>3</v>
      </c>
      <c r="L14" s="4" t="s">
        <v>3</v>
      </c>
      <c r="M14" s="13">
        <f>ABS(Tabela10[[#This Row],[Nutri AI-  Photo+ Caption Input]]-Tabela10[[#This Row],[GT]])/Tabela10[[#This Row],[GT]]</f>
        <v>0.55555555555555558</v>
      </c>
      <c r="N14" s="2">
        <f>ABS(Tabela10[[#This Row],[Nutri AI- Photo input only]]-Tabela10[[#This Row],[GT]])/Tabela10[[#This Row],[GT]]</f>
        <v>0.1111111111111111</v>
      </c>
      <c r="O14" s="2">
        <f>ABS(Tabela10[[#This Row],[arise]]-Tabela10[[#This Row],[GT]])/Tabela10[[#This Row],[GT]]</f>
        <v>2.2222222222222223</v>
      </c>
      <c r="P14" s="2">
        <f>ABS(Tabela10[[#This Row],[Calorix AI]]-Tabela10[[#This Row],[GT]])/Tabela10[[#This Row],[GT]]</f>
        <v>2.1111111111111112</v>
      </c>
      <c r="Q14" s="2">
        <f>ABS(Tabela10[[#This Row],[Calorie Cue AI]]-Tabela10[[#This Row],[GT]])/Tabela10[[#This Row],[GT]]</f>
        <v>2.3333333333333335</v>
      </c>
    </row>
    <row r="15" spans="1:25" x14ac:dyDescent="0.35">
      <c r="A15" s="1">
        <v>4</v>
      </c>
      <c r="B15" t="s">
        <v>0</v>
      </c>
      <c r="C15">
        <v>606</v>
      </c>
      <c r="D15">
        <v>380</v>
      </c>
      <c r="E15">
        <v>420</v>
      </c>
      <c r="F15">
        <v>538</v>
      </c>
      <c r="G15">
        <v>450</v>
      </c>
      <c r="H15">
        <v>292</v>
      </c>
      <c r="K15" s="9">
        <v>4</v>
      </c>
      <c r="L15" s="5" t="s">
        <v>0</v>
      </c>
      <c r="M15" s="14">
        <f>ABS(Tabela10[[#This Row],[Nutri AI-  Photo+ Caption Input]]-Tabela10[[#This Row],[GT]])/Tabela10[[#This Row],[GT]]</f>
        <v>0.37293729372937295</v>
      </c>
      <c r="N15" s="2">
        <f>ABS(Tabela10[[#This Row],[Nutri AI- Photo input only]]-Tabela10[[#This Row],[GT]])/Tabela10[[#This Row],[GT]]</f>
        <v>0.30693069306930693</v>
      </c>
      <c r="O15" s="2">
        <f>ABS(Tabela10[[#This Row],[arise]]-Tabela10[[#This Row],[GT]])/Tabela10[[#This Row],[GT]]</f>
        <v>0.11221122112211221</v>
      </c>
      <c r="P15" s="2">
        <f>ABS(Tabela10[[#This Row],[Calorix AI]]-Tabela10[[#This Row],[GT]])/Tabela10[[#This Row],[GT]]</f>
        <v>0.25742574257425743</v>
      </c>
      <c r="Q15" s="2">
        <f>ABS(Tabela10[[#This Row],[Calorie Cue AI]]-Tabela10[[#This Row],[GT]])/Tabela10[[#This Row],[GT]]</f>
        <v>0.5181518151815182</v>
      </c>
    </row>
    <row r="16" spans="1:25" x14ac:dyDescent="0.35">
      <c r="A16" s="1">
        <v>4</v>
      </c>
      <c r="B16" t="s">
        <v>1</v>
      </c>
      <c r="C16">
        <v>71</v>
      </c>
      <c r="D16">
        <v>65</v>
      </c>
      <c r="E16">
        <v>75</v>
      </c>
      <c r="F16">
        <v>53</v>
      </c>
      <c r="G16">
        <v>41</v>
      </c>
      <c r="H16">
        <v>53</v>
      </c>
      <c r="K16" s="10">
        <v>4</v>
      </c>
      <c r="L16" s="4" t="s">
        <v>1</v>
      </c>
      <c r="M16" s="13">
        <f>ABS(Tabela10[[#This Row],[Nutri AI-  Photo+ Caption Input]]-Tabela10[[#This Row],[GT]])/Tabela10[[#This Row],[GT]]</f>
        <v>8.4507042253521125E-2</v>
      </c>
      <c r="N16" s="2">
        <f>ABS(Tabela10[[#This Row],[Nutri AI- Photo input only]]-Tabela10[[#This Row],[GT]])/Tabela10[[#This Row],[GT]]</f>
        <v>5.6338028169014086E-2</v>
      </c>
      <c r="O16" s="2">
        <f>ABS(Tabela10[[#This Row],[arise]]-Tabela10[[#This Row],[GT]])/Tabela10[[#This Row],[GT]]</f>
        <v>0.25352112676056338</v>
      </c>
      <c r="P16" s="2">
        <f>ABS(Tabela10[[#This Row],[Calorix AI]]-Tabela10[[#This Row],[GT]])/Tabela10[[#This Row],[GT]]</f>
        <v>0.42253521126760563</v>
      </c>
      <c r="Q16" s="2">
        <f>ABS(Tabela10[[#This Row],[Calorie Cue AI]]-Tabela10[[#This Row],[GT]])/Tabela10[[#This Row],[GT]]</f>
        <v>0.25352112676056338</v>
      </c>
    </row>
    <row r="17" spans="1:21" x14ac:dyDescent="0.35">
      <c r="A17" s="1">
        <v>4</v>
      </c>
      <c r="B17" t="s">
        <v>2</v>
      </c>
      <c r="C17">
        <v>19</v>
      </c>
      <c r="D17">
        <v>12</v>
      </c>
      <c r="E17">
        <v>14</v>
      </c>
      <c r="F17">
        <v>12</v>
      </c>
      <c r="G17">
        <v>18</v>
      </c>
      <c r="H17">
        <v>9</v>
      </c>
      <c r="K17" s="9">
        <v>4</v>
      </c>
      <c r="L17" s="5" t="s">
        <v>2</v>
      </c>
      <c r="M17" s="14">
        <f>ABS(Tabela10[[#This Row],[Nutri AI-  Photo+ Caption Input]]-Tabela10[[#This Row],[GT]])/Tabela10[[#This Row],[GT]]</f>
        <v>0.36842105263157893</v>
      </c>
      <c r="N17" s="2">
        <f>ABS(Tabela10[[#This Row],[Nutri AI- Photo input only]]-Tabela10[[#This Row],[GT]])/Tabela10[[#This Row],[GT]]</f>
        <v>0.26315789473684209</v>
      </c>
      <c r="O17" s="2">
        <f>ABS(Tabela10[[#This Row],[arise]]-Tabela10[[#This Row],[GT]])/Tabela10[[#This Row],[GT]]</f>
        <v>0.36842105263157893</v>
      </c>
      <c r="P17" s="2">
        <f>ABS(Tabela10[[#This Row],[Calorix AI]]-Tabela10[[#This Row],[GT]])/Tabela10[[#This Row],[GT]]</f>
        <v>5.2631578947368418E-2</v>
      </c>
      <c r="Q17" s="2">
        <f>ABS(Tabela10[[#This Row],[Calorie Cue AI]]-Tabela10[[#This Row],[GT]])/Tabela10[[#This Row],[GT]]</f>
        <v>0.52631578947368418</v>
      </c>
    </row>
    <row r="18" spans="1:21" x14ac:dyDescent="0.35">
      <c r="A18" s="1">
        <v>4</v>
      </c>
      <c r="B18" t="s">
        <v>3</v>
      </c>
      <c r="C18">
        <v>24</v>
      </c>
      <c r="D18">
        <v>8</v>
      </c>
      <c r="E18">
        <v>8</v>
      </c>
      <c r="F18">
        <v>32</v>
      </c>
      <c r="G18">
        <v>24</v>
      </c>
      <c r="H18">
        <v>6</v>
      </c>
      <c r="K18" s="10">
        <v>4</v>
      </c>
      <c r="L18" s="4" t="s">
        <v>3</v>
      </c>
      <c r="M18" s="13">
        <f>ABS(Tabela10[[#This Row],[Nutri AI-  Photo+ Caption Input]]-Tabela10[[#This Row],[GT]])/Tabela10[[#This Row],[GT]]</f>
        <v>0.66666666666666663</v>
      </c>
      <c r="N18" s="2">
        <f>ABS(Tabela10[[#This Row],[Nutri AI- Photo input only]]-Tabela10[[#This Row],[GT]])/Tabela10[[#This Row],[GT]]</f>
        <v>0.66666666666666663</v>
      </c>
      <c r="O18" s="2">
        <f>ABS(Tabela10[[#This Row],[arise]]-Tabela10[[#This Row],[GT]])/Tabela10[[#This Row],[GT]]</f>
        <v>0.33333333333333331</v>
      </c>
      <c r="P18" s="2">
        <f>ABS(Tabela10[[#This Row],[Calorix AI]]-Tabela10[[#This Row],[GT]])/Tabela10[[#This Row],[GT]]</f>
        <v>0</v>
      </c>
      <c r="Q18" s="2">
        <f>ABS(Tabela10[[#This Row],[Calorie Cue AI]]-Tabela10[[#This Row],[GT]])/Tabela10[[#This Row],[GT]]</f>
        <v>0.75</v>
      </c>
    </row>
    <row r="19" spans="1:21" x14ac:dyDescent="0.35">
      <c r="A19" s="1">
        <v>5</v>
      </c>
      <c r="B19" t="s">
        <v>0</v>
      </c>
      <c r="C19">
        <v>228</v>
      </c>
      <c r="D19">
        <v>580</v>
      </c>
      <c r="E19">
        <v>525</v>
      </c>
      <c r="F19">
        <v>581</v>
      </c>
      <c r="G19">
        <v>455</v>
      </c>
      <c r="H19">
        <v>695</v>
      </c>
      <c r="K19" s="9">
        <v>5</v>
      </c>
      <c r="L19" s="5" t="s">
        <v>0</v>
      </c>
      <c r="M19" s="14">
        <f>ABS(Tabela10[[#This Row],[Nutri AI-  Photo+ Caption Input]]-Tabela10[[#This Row],[GT]])/Tabela10[[#This Row],[GT]]</f>
        <v>1.5438596491228069</v>
      </c>
      <c r="N19" s="2">
        <f>ABS(Tabela10[[#This Row],[Nutri AI- Photo input only]]-Tabela10[[#This Row],[GT]])/Tabela10[[#This Row],[GT]]</f>
        <v>1.3026315789473684</v>
      </c>
      <c r="O19" s="2">
        <f>ABS(Tabela10[[#This Row],[arise]]-Tabela10[[#This Row],[GT]])/Tabela10[[#This Row],[GT]]</f>
        <v>1.5482456140350878</v>
      </c>
      <c r="P19" s="2">
        <f>ABS(Tabela10[[#This Row],[Calorix AI]]-Tabela10[[#This Row],[GT]])/Tabela10[[#This Row],[GT]]</f>
        <v>0.99561403508771928</v>
      </c>
      <c r="Q19" s="2">
        <f>ABS(Tabela10[[#This Row],[Calorie Cue AI]]-Tabela10[[#This Row],[GT]])/Tabela10[[#This Row],[GT]]</f>
        <v>2.0482456140350878</v>
      </c>
    </row>
    <row r="20" spans="1:21" ht="18.5" x14ac:dyDescent="0.45">
      <c r="A20" s="1">
        <v>5</v>
      </c>
      <c r="B20" t="s">
        <v>1</v>
      </c>
      <c r="C20">
        <v>38</v>
      </c>
      <c r="D20">
        <v>80</v>
      </c>
      <c r="E20">
        <v>95</v>
      </c>
      <c r="F20">
        <v>84</v>
      </c>
      <c r="G20">
        <v>68</v>
      </c>
      <c r="H20">
        <v>91</v>
      </c>
      <c r="K20" s="10">
        <v>5</v>
      </c>
      <c r="L20" s="4" t="s">
        <v>1</v>
      </c>
      <c r="M20" s="13">
        <f>ABS(Tabela10[[#This Row],[Nutri AI-  Photo+ Caption Input]]-Tabela10[[#This Row],[GT]])/Tabela10[[#This Row],[GT]]</f>
        <v>1.1052631578947369</v>
      </c>
      <c r="N20" s="2">
        <f>ABS(Tabela10[[#This Row],[Nutri AI- Photo input only]]-Tabela10[[#This Row],[GT]])/Tabela10[[#This Row],[GT]]</f>
        <v>1.5</v>
      </c>
      <c r="O20" s="2">
        <f>ABS(Tabela10[[#This Row],[arise]]-Tabela10[[#This Row],[GT]])/Tabela10[[#This Row],[GT]]</f>
        <v>1.2105263157894737</v>
      </c>
      <c r="P20" s="2">
        <f>ABS(Tabela10[[#This Row],[Calorix AI]]-Tabela10[[#This Row],[GT]])/Tabela10[[#This Row],[GT]]</f>
        <v>0.78947368421052633</v>
      </c>
      <c r="Q20" s="2">
        <f>ABS(Tabela10[[#This Row],[Calorie Cue AI]]-Tabela10[[#This Row],[GT]])/Tabela10[[#This Row],[GT]]</f>
        <v>1.3947368421052631</v>
      </c>
      <c r="T20" s="6" t="s">
        <v>17</v>
      </c>
      <c r="U20" s="6"/>
    </row>
    <row r="21" spans="1:21" x14ac:dyDescent="0.35">
      <c r="A21" s="1">
        <v>5</v>
      </c>
      <c r="B21" t="s">
        <v>2</v>
      </c>
      <c r="C21">
        <v>9</v>
      </c>
      <c r="D21">
        <v>16</v>
      </c>
      <c r="E21">
        <v>12</v>
      </c>
      <c r="F21">
        <v>12</v>
      </c>
      <c r="G21">
        <v>8</v>
      </c>
      <c r="H21">
        <v>15</v>
      </c>
      <c r="K21" s="9">
        <v>5</v>
      </c>
      <c r="L21" s="5" t="s">
        <v>2</v>
      </c>
      <c r="M21" s="14">
        <f>ABS(Tabela10[[#This Row],[Nutri AI-  Photo+ Caption Input]]-Tabela10[[#This Row],[GT]])/Tabela10[[#This Row],[GT]]</f>
        <v>0.77777777777777779</v>
      </c>
      <c r="N21" s="2">
        <f>ABS(Tabela10[[#This Row],[Nutri AI- Photo input only]]-Tabela10[[#This Row],[GT]])/Tabela10[[#This Row],[GT]]</f>
        <v>0.33333333333333331</v>
      </c>
      <c r="O21" s="2">
        <f>ABS(Tabela10[[#This Row],[arise]]-Tabela10[[#This Row],[GT]])/Tabela10[[#This Row],[GT]]</f>
        <v>0.33333333333333331</v>
      </c>
      <c r="P21" s="2">
        <f>ABS(Tabela10[[#This Row],[Calorix AI]]-Tabela10[[#This Row],[GT]])/Tabela10[[#This Row],[GT]]</f>
        <v>0.1111111111111111</v>
      </c>
      <c r="Q21" s="2">
        <f>ABS(Tabela10[[#This Row],[Calorie Cue AI]]-Tabela10[[#This Row],[GT]])/Tabela10[[#This Row],[GT]]</f>
        <v>0.66666666666666663</v>
      </c>
    </row>
    <row r="22" spans="1:21" x14ac:dyDescent="0.35">
      <c r="A22" s="1">
        <v>5</v>
      </c>
      <c r="B22" t="s">
        <v>3</v>
      </c>
      <c r="C22">
        <v>6</v>
      </c>
      <c r="D22">
        <v>22</v>
      </c>
      <c r="E22">
        <v>10</v>
      </c>
      <c r="F22">
        <v>22</v>
      </c>
      <c r="G22">
        <v>19</v>
      </c>
      <c r="H22">
        <v>29</v>
      </c>
      <c r="K22" s="10">
        <v>5</v>
      </c>
      <c r="L22" s="4" t="s">
        <v>3</v>
      </c>
      <c r="M22" s="13">
        <f>ABS(Tabela10[[#This Row],[Nutri AI-  Photo+ Caption Input]]-Tabela10[[#This Row],[GT]])/Tabela10[[#This Row],[GT]]</f>
        <v>2.6666666666666665</v>
      </c>
      <c r="N22" s="2">
        <f>ABS(Tabela10[[#This Row],[Nutri AI- Photo input only]]-Tabela10[[#This Row],[GT]])/Tabela10[[#This Row],[GT]]</f>
        <v>0.66666666666666663</v>
      </c>
      <c r="O22" s="2">
        <f>ABS(Tabela10[[#This Row],[arise]]-Tabela10[[#This Row],[GT]])/Tabela10[[#This Row],[GT]]</f>
        <v>2.6666666666666665</v>
      </c>
      <c r="P22" s="2">
        <f>ABS(Tabela10[[#This Row],[Calorix AI]]-Tabela10[[#This Row],[GT]])/Tabela10[[#This Row],[GT]]</f>
        <v>2.1666666666666665</v>
      </c>
      <c r="Q22" s="2">
        <f>ABS(Tabela10[[#This Row],[Calorie Cue AI]]-Tabela10[[#This Row],[GT]])/Tabela10[[#This Row],[GT]]</f>
        <v>3.8333333333333335</v>
      </c>
    </row>
    <row r="23" spans="1:21" x14ac:dyDescent="0.35">
      <c r="A23" s="1">
        <v>6</v>
      </c>
      <c r="B23" t="s">
        <v>0</v>
      </c>
      <c r="C23">
        <v>264</v>
      </c>
      <c r="D23">
        <v>210</v>
      </c>
      <c r="E23">
        <v>280</v>
      </c>
      <c r="F23">
        <v>381</v>
      </c>
      <c r="G23">
        <v>329</v>
      </c>
      <c r="H23">
        <v>355</v>
      </c>
      <c r="K23" s="9">
        <v>6</v>
      </c>
      <c r="L23" s="5" t="s">
        <v>0</v>
      </c>
      <c r="M23" s="14">
        <f>ABS(Tabela10[[#This Row],[Nutri AI-  Photo+ Caption Input]]-Tabela10[[#This Row],[GT]])/Tabela10[[#This Row],[GT]]</f>
        <v>0.20454545454545456</v>
      </c>
      <c r="N23" s="2">
        <f>ABS(Tabela10[[#This Row],[Nutri AI- Photo input only]]-Tabela10[[#This Row],[GT]])/Tabela10[[#This Row],[GT]]</f>
        <v>6.0606060606060608E-2</v>
      </c>
      <c r="O23" s="2">
        <f>ABS(Tabela10[[#This Row],[arise]]-Tabela10[[#This Row],[GT]])/Tabela10[[#This Row],[GT]]</f>
        <v>0.44318181818181818</v>
      </c>
      <c r="P23" s="2">
        <f>ABS(Tabela10[[#This Row],[Calorix AI]]-Tabela10[[#This Row],[GT]])/Tabela10[[#This Row],[GT]]</f>
        <v>0.24621212121212122</v>
      </c>
      <c r="Q23" s="2">
        <f>ABS(Tabela10[[#This Row],[Calorie Cue AI]]-Tabela10[[#This Row],[GT]])/Tabela10[[#This Row],[GT]]</f>
        <v>0.34469696969696972</v>
      </c>
    </row>
    <row r="24" spans="1:21" x14ac:dyDescent="0.35">
      <c r="A24" s="1">
        <v>6</v>
      </c>
      <c r="B24" t="s">
        <v>1</v>
      </c>
      <c r="C24">
        <v>36</v>
      </c>
      <c r="D24">
        <v>22</v>
      </c>
      <c r="E24">
        <v>30</v>
      </c>
      <c r="F24">
        <v>42</v>
      </c>
      <c r="G24">
        <v>26</v>
      </c>
      <c r="H24">
        <v>36</v>
      </c>
      <c r="K24" s="10">
        <v>6</v>
      </c>
      <c r="L24" s="4" t="s">
        <v>1</v>
      </c>
      <c r="M24" s="13">
        <f>ABS(Tabela10[[#This Row],[Nutri AI-  Photo+ Caption Input]]-Tabela10[[#This Row],[GT]])/Tabela10[[#This Row],[GT]]</f>
        <v>0.3888888888888889</v>
      </c>
      <c r="N24" s="2">
        <f>ABS(Tabela10[[#This Row],[Nutri AI- Photo input only]]-Tabela10[[#This Row],[GT]])/Tabela10[[#This Row],[GT]]</f>
        <v>0.16666666666666666</v>
      </c>
      <c r="O24" s="2">
        <f>ABS(Tabela10[[#This Row],[arise]]-Tabela10[[#This Row],[GT]])/Tabela10[[#This Row],[GT]]</f>
        <v>0.16666666666666666</v>
      </c>
      <c r="P24" s="2">
        <f>ABS(Tabela10[[#This Row],[Calorix AI]]-Tabela10[[#This Row],[GT]])/Tabela10[[#This Row],[GT]]</f>
        <v>0.27777777777777779</v>
      </c>
      <c r="Q24" s="2">
        <f>ABS(Tabela10[[#This Row],[Calorie Cue AI]]-Tabela10[[#This Row],[GT]])/Tabela10[[#This Row],[GT]]</f>
        <v>0</v>
      </c>
    </row>
    <row r="25" spans="1:21" x14ac:dyDescent="0.35">
      <c r="A25" s="1">
        <v>6</v>
      </c>
      <c r="B25" t="s">
        <v>2</v>
      </c>
      <c r="C25">
        <v>7</v>
      </c>
      <c r="D25">
        <v>5</v>
      </c>
      <c r="E25">
        <v>6</v>
      </c>
      <c r="F25">
        <v>8.6999999999999993</v>
      </c>
      <c r="G25">
        <v>5</v>
      </c>
      <c r="H25">
        <v>8</v>
      </c>
      <c r="K25" s="9">
        <v>6</v>
      </c>
      <c r="L25" s="5" t="s">
        <v>2</v>
      </c>
      <c r="M25" s="14">
        <f>ABS(Tabela10[[#This Row],[Nutri AI-  Photo+ Caption Input]]-Tabela10[[#This Row],[GT]])/Tabela10[[#This Row],[GT]]</f>
        <v>0.2857142857142857</v>
      </c>
      <c r="N25" s="2">
        <f>ABS(Tabela10[[#This Row],[Nutri AI- Photo input only]]-Tabela10[[#This Row],[GT]])/Tabela10[[#This Row],[GT]]</f>
        <v>0.14285714285714285</v>
      </c>
      <c r="O25" s="2">
        <f>ABS(Tabela10[[#This Row],[arise]]-Tabela10[[#This Row],[GT]])/Tabela10[[#This Row],[GT]]</f>
        <v>0.24285714285714274</v>
      </c>
      <c r="P25" s="2">
        <f>ABS(Tabela10[[#This Row],[Calorix AI]]-Tabela10[[#This Row],[GT]])/Tabela10[[#This Row],[GT]]</f>
        <v>0.2857142857142857</v>
      </c>
      <c r="Q25" s="2">
        <f>ABS(Tabela10[[#This Row],[Calorie Cue AI]]-Tabela10[[#This Row],[GT]])/Tabela10[[#This Row],[GT]]</f>
        <v>0.14285714285714285</v>
      </c>
    </row>
    <row r="26" spans="1:21" x14ac:dyDescent="0.35">
      <c r="A26" s="1">
        <v>6</v>
      </c>
      <c r="B26" t="s">
        <v>3</v>
      </c>
      <c r="C26">
        <v>12</v>
      </c>
      <c r="D26">
        <v>12</v>
      </c>
      <c r="E26">
        <v>16</v>
      </c>
      <c r="F26">
        <v>22</v>
      </c>
      <c r="G26">
        <v>16</v>
      </c>
      <c r="H26">
        <v>18</v>
      </c>
      <c r="K26" s="10">
        <v>6</v>
      </c>
      <c r="L26" s="4" t="s">
        <v>3</v>
      </c>
      <c r="M26" s="13">
        <f>ABS(Tabela10[[#This Row],[Nutri AI-  Photo+ Caption Input]]-Tabela10[[#This Row],[GT]])/Tabela10[[#This Row],[GT]]</f>
        <v>0</v>
      </c>
      <c r="N26" s="2">
        <f>ABS(Tabela10[[#This Row],[Nutri AI- Photo input only]]-Tabela10[[#This Row],[GT]])/Tabela10[[#This Row],[GT]]</f>
        <v>0.33333333333333331</v>
      </c>
      <c r="O26" s="2">
        <f>ABS(Tabela10[[#This Row],[arise]]-Tabela10[[#This Row],[GT]])/Tabela10[[#This Row],[GT]]</f>
        <v>0.83333333333333337</v>
      </c>
      <c r="P26" s="2">
        <f>ABS(Tabela10[[#This Row],[Calorix AI]]-Tabela10[[#This Row],[GT]])/Tabela10[[#This Row],[GT]]</f>
        <v>0.33333333333333331</v>
      </c>
      <c r="Q26" s="2">
        <f>ABS(Tabela10[[#This Row],[Calorie Cue AI]]-Tabela10[[#This Row],[GT]])/Tabela10[[#This Row],[GT]]</f>
        <v>0.5</v>
      </c>
    </row>
    <row r="27" spans="1:21" x14ac:dyDescent="0.35">
      <c r="A27" s="1">
        <v>7</v>
      </c>
      <c r="B27" t="s">
        <v>0</v>
      </c>
      <c r="C27">
        <v>352</v>
      </c>
      <c r="D27">
        <v>320</v>
      </c>
      <c r="E27">
        <v>380</v>
      </c>
      <c r="F27">
        <v>383</v>
      </c>
      <c r="G27">
        <v>325</v>
      </c>
      <c r="H27">
        <v>545</v>
      </c>
      <c r="K27" s="9">
        <v>7</v>
      </c>
      <c r="L27" s="5" t="s">
        <v>0</v>
      </c>
      <c r="M27" s="14">
        <f>ABS(Tabela10[[#This Row],[Nutri AI-  Photo+ Caption Input]]-Tabela10[[#This Row],[GT]])/Tabela10[[#This Row],[GT]]</f>
        <v>9.0909090909090912E-2</v>
      </c>
      <c r="N27" s="2">
        <f>ABS(Tabela10[[#This Row],[Nutri AI- Photo input only]]-Tabela10[[#This Row],[GT]])/Tabela10[[#This Row],[GT]]</f>
        <v>7.9545454545454544E-2</v>
      </c>
      <c r="O27" s="2">
        <f>ABS(Tabela10[[#This Row],[arise]]-Tabela10[[#This Row],[GT]])/Tabela10[[#This Row],[GT]]</f>
        <v>8.8068181818181823E-2</v>
      </c>
      <c r="P27" s="2">
        <f>ABS(Tabela10[[#This Row],[Calorix AI]]-Tabela10[[#This Row],[GT]])/Tabela10[[#This Row],[GT]]</f>
        <v>7.6704545454545456E-2</v>
      </c>
      <c r="Q27" s="2">
        <f>ABS(Tabela10[[#This Row],[Calorie Cue AI]]-Tabela10[[#This Row],[GT]])/Tabela10[[#This Row],[GT]]</f>
        <v>0.54829545454545459</v>
      </c>
    </row>
    <row r="28" spans="1:21" x14ac:dyDescent="0.35">
      <c r="A28" s="1">
        <v>7</v>
      </c>
      <c r="B28" t="s">
        <v>1</v>
      </c>
      <c r="C28">
        <v>46</v>
      </c>
      <c r="D28">
        <v>52</v>
      </c>
      <c r="E28">
        <v>62</v>
      </c>
      <c r="F28">
        <v>34</v>
      </c>
      <c r="G28">
        <v>46</v>
      </c>
      <c r="H28">
        <v>83</v>
      </c>
      <c r="K28" s="10">
        <v>7</v>
      </c>
      <c r="L28" s="4" t="s">
        <v>1</v>
      </c>
      <c r="M28" s="13">
        <f>ABS(Tabela10[[#This Row],[Nutri AI-  Photo+ Caption Input]]-Tabela10[[#This Row],[GT]])/Tabela10[[#This Row],[GT]]</f>
        <v>0.13043478260869565</v>
      </c>
      <c r="N28" s="2">
        <f>ABS(Tabela10[[#This Row],[Nutri AI- Photo input only]]-Tabela10[[#This Row],[GT]])/Tabela10[[#This Row],[GT]]</f>
        <v>0.34782608695652173</v>
      </c>
      <c r="O28" s="2">
        <f>ABS(Tabela10[[#This Row],[arise]]-Tabela10[[#This Row],[GT]])/Tabela10[[#This Row],[GT]]</f>
        <v>0.2608695652173913</v>
      </c>
      <c r="P28" s="2">
        <f>ABS(Tabela10[[#This Row],[Calorix AI]]-Tabela10[[#This Row],[GT]])/Tabela10[[#This Row],[GT]]</f>
        <v>0</v>
      </c>
      <c r="Q28" s="2">
        <f>ABS(Tabela10[[#This Row],[Calorie Cue AI]]-Tabela10[[#This Row],[GT]])/Tabela10[[#This Row],[GT]]</f>
        <v>0.80434782608695654</v>
      </c>
    </row>
    <row r="29" spans="1:21" x14ac:dyDescent="0.35">
      <c r="A29" s="1">
        <v>7</v>
      </c>
      <c r="B29" t="s">
        <v>2</v>
      </c>
      <c r="C29">
        <v>23</v>
      </c>
      <c r="D29">
        <v>14</v>
      </c>
      <c r="E29">
        <v>8</v>
      </c>
      <c r="F29">
        <v>34</v>
      </c>
      <c r="G29">
        <v>9</v>
      </c>
      <c r="H29">
        <v>20</v>
      </c>
      <c r="K29" s="9">
        <v>7</v>
      </c>
      <c r="L29" s="5" t="s">
        <v>2</v>
      </c>
      <c r="M29" s="14">
        <f>ABS(Tabela10[[#This Row],[Nutri AI-  Photo+ Caption Input]]-Tabela10[[#This Row],[GT]])/Tabela10[[#This Row],[GT]]</f>
        <v>0.39130434782608697</v>
      </c>
      <c r="N29" s="2">
        <f>ABS(Tabela10[[#This Row],[Nutri AI- Photo input only]]-Tabela10[[#This Row],[GT]])/Tabela10[[#This Row],[GT]]</f>
        <v>0.65217391304347827</v>
      </c>
      <c r="O29" s="2">
        <f>ABS(Tabela10[[#This Row],[arise]]-Tabela10[[#This Row],[GT]])/Tabela10[[#This Row],[GT]]</f>
        <v>0.47826086956521741</v>
      </c>
      <c r="P29" s="2">
        <f>ABS(Tabela10[[#This Row],[Calorix AI]]-Tabela10[[#This Row],[GT]])/Tabela10[[#This Row],[GT]]</f>
        <v>0.60869565217391308</v>
      </c>
      <c r="Q29" s="2">
        <f>ABS(Tabela10[[#This Row],[Calorie Cue AI]]-Tabela10[[#This Row],[GT]])/Tabela10[[#This Row],[GT]]</f>
        <v>0.13043478260869565</v>
      </c>
    </row>
    <row r="30" spans="1:21" x14ac:dyDescent="0.35">
      <c r="A30" s="1">
        <v>7</v>
      </c>
      <c r="B30" t="s">
        <v>3</v>
      </c>
      <c r="C30">
        <v>9</v>
      </c>
      <c r="D30">
        <v>8</v>
      </c>
      <c r="E30">
        <v>12</v>
      </c>
      <c r="F30">
        <v>14</v>
      </c>
      <c r="G30">
        <v>14</v>
      </c>
      <c r="H30">
        <v>15</v>
      </c>
      <c r="K30" s="10">
        <v>7</v>
      </c>
      <c r="L30" s="4" t="s">
        <v>3</v>
      </c>
      <c r="M30" s="13">
        <f>ABS(Tabela10[[#This Row],[Nutri AI-  Photo+ Caption Input]]-Tabela10[[#This Row],[GT]])/Tabela10[[#This Row],[GT]]</f>
        <v>0.1111111111111111</v>
      </c>
      <c r="N30" s="2">
        <f>ABS(Tabela10[[#This Row],[Nutri AI- Photo input only]]-Tabela10[[#This Row],[GT]])/Tabela10[[#This Row],[GT]]</f>
        <v>0.33333333333333331</v>
      </c>
      <c r="O30" s="2">
        <f>ABS(Tabela10[[#This Row],[arise]]-Tabela10[[#This Row],[GT]])/Tabela10[[#This Row],[GT]]</f>
        <v>0.55555555555555558</v>
      </c>
      <c r="P30" s="2">
        <f>ABS(Tabela10[[#This Row],[Calorix AI]]-Tabela10[[#This Row],[GT]])/Tabela10[[#This Row],[GT]]</f>
        <v>0.55555555555555558</v>
      </c>
      <c r="Q30" s="2">
        <f>ABS(Tabela10[[#This Row],[Calorie Cue AI]]-Tabela10[[#This Row],[GT]])/Tabela10[[#This Row],[GT]]</f>
        <v>0.66666666666666663</v>
      </c>
    </row>
    <row r="31" spans="1:21" x14ac:dyDescent="0.35">
      <c r="A31" s="1">
        <v>8</v>
      </c>
      <c r="B31" t="s">
        <v>0</v>
      </c>
      <c r="C31">
        <v>254</v>
      </c>
      <c r="D31">
        <v>320</v>
      </c>
      <c r="E31">
        <v>120</v>
      </c>
      <c r="F31">
        <v>422</v>
      </c>
      <c r="G31">
        <v>351</v>
      </c>
      <c r="H31">
        <v>539</v>
      </c>
      <c r="K31" s="9">
        <v>8</v>
      </c>
      <c r="L31" s="5" t="s">
        <v>0</v>
      </c>
      <c r="M31" s="14">
        <f>ABS(Tabela10[[#This Row],[Nutri AI-  Photo+ Caption Input]]-Tabela10[[#This Row],[GT]])/Tabela10[[#This Row],[GT]]</f>
        <v>0.25984251968503935</v>
      </c>
      <c r="N31" s="2">
        <f>ABS(Tabela10[[#This Row],[Nutri AI- Photo input only]]-Tabela10[[#This Row],[GT]])/Tabela10[[#This Row],[GT]]</f>
        <v>0.52755905511811019</v>
      </c>
      <c r="O31" s="2">
        <f>ABS(Tabela10[[#This Row],[arise]]-Tabela10[[#This Row],[GT]])/Tabela10[[#This Row],[GT]]</f>
        <v>0.66141732283464572</v>
      </c>
      <c r="P31" s="2">
        <f>ABS(Tabela10[[#This Row],[Calorix AI]]-Tabela10[[#This Row],[GT]])/Tabela10[[#This Row],[GT]]</f>
        <v>0.38188976377952755</v>
      </c>
      <c r="Q31" s="2">
        <f>ABS(Tabela10[[#This Row],[Calorie Cue AI]]-Tabela10[[#This Row],[GT]])/Tabela10[[#This Row],[GT]]</f>
        <v>1.1220472440944882</v>
      </c>
    </row>
    <row r="32" spans="1:21" x14ac:dyDescent="0.35">
      <c r="A32" s="1">
        <v>8</v>
      </c>
      <c r="B32" t="s">
        <v>1</v>
      </c>
      <c r="C32">
        <v>33.5</v>
      </c>
      <c r="D32">
        <v>45</v>
      </c>
      <c r="E32">
        <v>0</v>
      </c>
      <c r="F32">
        <v>33</v>
      </c>
      <c r="G32">
        <v>30</v>
      </c>
      <c r="H32">
        <v>99</v>
      </c>
      <c r="K32" s="10">
        <v>8</v>
      </c>
      <c r="L32" s="4" t="s">
        <v>1</v>
      </c>
      <c r="M32" s="13">
        <f>ABS(Tabela10[[#This Row],[Nutri AI-  Photo+ Caption Input]]-Tabela10[[#This Row],[GT]])/Tabela10[[#This Row],[GT]]</f>
        <v>0.34328358208955223</v>
      </c>
      <c r="N32" s="2">
        <f>ABS(Tabela10[[#This Row],[Nutri AI- Photo input only]]-Tabela10[[#This Row],[GT]])/Tabela10[[#This Row],[GT]]</f>
        <v>1</v>
      </c>
      <c r="O32" s="2">
        <f>ABS(Tabela10[[#This Row],[arise]]-Tabela10[[#This Row],[GT]])/Tabela10[[#This Row],[GT]]</f>
        <v>1.4925373134328358E-2</v>
      </c>
      <c r="P32" s="2">
        <f>ABS(Tabela10[[#This Row],[Calorix AI]]-Tabela10[[#This Row],[GT]])/Tabela10[[#This Row],[GT]]</f>
        <v>0.1044776119402985</v>
      </c>
      <c r="Q32" s="2">
        <f>ABS(Tabela10[[#This Row],[Calorie Cue AI]]-Tabela10[[#This Row],[GT]])/Tabela10[[#This Row],[GT]]</f>
        <v>1.955223880597015</v>
      </c>
    </row>
    <row r="33" spans="1:17" x14ac:dyDescent="0.35">
      <c r="A33" s="1">
        <v>8</v>
      </c>
      <c r="B33" t="s">
        <v>2</v>
      </c>
      <c r="C33">
        <v>28</v>
      </c>
      <c r="D33">
        <v>28</v>
      </c>
      <c r="E33">
        <v>24</v>
      </c>
      <c r="F33">
        <v>35</v>
      </c>
      <c r="G33">
        <v>22</v>
      </c>
      <c r="H33">
        <v>33</v>
      </c>
      <c r="K33" s="9">
        <v>8</v>
      </c>
      <c r="L33" s="5" t="s">
        <v>2</v>
      </c>
      <c r="M33" s="14">
        <f>ABS(Tabela10[[#This Row],[Nutri AI-  Photo+ Caption Input]]-Tabela10[[#This Row],[GT]])/Tabela10[[#This Row],[GT]]</f>
        <v>0</v>
      </c>
      <c r="N33" s="2">
        <f>ABS(Tabela10[[#This Row],[Nutri AI- Photo input only]]-Tabela10[[#This Row],[GT]])/Tabela10[[#This Row],[GT]]</f>
        <v>0.14285714285714285</v>
      </c>
      <c r="O33" s="2">
        <f>ABS(Tabela10[[#This Row],[arise]]-Tabela10[[#This Row],[GT]])/Tabela10[[#This Row],[GT]]</f>
        <v>0.25</v>
      </c>
      <c r="P33" s="2">
        <f>ABS(Tabela10[[#This Row],[Calorix AI]]-Tabela10[[#This Row],[GT]])/Tabela10[[#This Row],[GT]]</f>
        <v>0.21428571428571427</v>
      </c>
      <c r="Q33" s="2">
        <f>ABS(Tabela10[[#This Row],[Calorie Cue AI]]-Tabela10[[#This Row],[GT]])/Tabela10[[#This Row],[GT]]</f>
        <v>0.17857142857142858</v>
      </c>
    </row>
    <row r="34" spans="1:17" x14ac:dyDescent="0.35">
      <c r="A34" s="1">
        <v>8</v>
      </c>
      <c r="B34" t="s">
        <v>3</v>
      </c>
      <c r="C34">
        <v>2.5</v>
      </c>
      <c r="D34">
        <v>3</v>
      </c>
      <c r="E34">
        <v>1.5</v>
      </c>
      <c r="F34">
        <v>16</v>
      </c>
      <c r="G34">
        <v>9</v>
      </c>
      <c r="H34">
        <v>4</v>
      </c>
      <c r="K34" s="10">
        <v>8</v>
      </c>
      <c r="L34" s="4" t="s">
        <v>3</v>
      </c>
      <c r="M34" s="13">
        <f>ABS(Tabela10[[#This Row],[Nutri AI-  Photo+ Caption Input]]-Tabela10[[#This Row],[GT]])/Tabela10[[#This Row],[GT]]</f>
        <v>0.2</v>
      </c>
      <c r="N34" s="2">
        <f>ABS(Tabela10[[#This Row],[Nutri AI- Photo input only]]-Tabela10[[#This Row],[GT]])/Tabela10[[#This Row],[GT]]</f>
        <v>0.4</v>
      </c>
      <c r="O34" s="2">
        <f>ABS(Tabela10[[#This Row],[arise]]-Tabela10[[#This Row],[GT]])/Tabela10[[#This Row],[GT]]</f>
        <v>5.4</v>
      </c>
      <c r="P34" s="2">
        <f>ABS(Tabela10[[#This Row],[Calorix AI]]-Tabela10[[#This Row],[GT]])/Tabela10[[#This Row],[GT]]</f>
        <v>2.6</v>
      </c>
      <c r="Q34" s="2">
        <f>ABS(Tabela10[[#This Row],[Calorie Cue AI]]-Tabela10[[#This Row],[GT]])/Tabela10[[#This Row],[GT]]</f>
        <v>0.6</v>
      </c>
    </row>
    <row r="35" spans="1:17" x14ac:dyDescent="0.35">
      <c r="A35" s="1">
        <v>9</v>
      </c>
      <c r="B35" t="s">
        <v>0</v>
      </c>
      <c r="C35">
        <v>355</v>
      </c>
      <c r="D35">
        <v>520</v>
      </c>
      <c r="E35">
        <v>840</v>
      </c>
      <c r="F35">
        <v>706</v>
      </c>
      <c r="G35">
        <v>710</v>
      </c>
      <c r="H35">
        <v>385</v>
      </c>
      <c r="K35" s="9">
        <v>9</v>
      </c>
      <c r="L35" s="5" t="s">
        <v>0</v>
      </c>
      <c r="M35" s="14">
        <f>ABS(Tabela10[[#This Row],[Nutri AI-  Photo+ Caption Input]]-Tabela10[[#This Row],[GT]])/Tabela10[[#This Row],[GT]]</f>
        <v>0.46478873239436619</v>
      </c>
      <c r="N35" s="2">
        <f>ABS(Tabela10[[#This Row],[Nutri AI- Photo input only]]-Tabela10[[#This Row],[GT]])/Tabela10[[#This Row],[GT]]</f>
        <v>1.3661971830985915</v>
      </c>
      <c r="O35" s="2">
        <f>ABS(Tabela10[[#This Row],[arise]]-Tabela10[[#This Row],[GT]])/Tabela10[[#This Row],[GT]]</f>
        <v>0.9887323943661972</v>
      </c>
      <c r="P35" s="2">
        <f>ABS(Tabela10[[#This Row],[Calorix AI]]-Tabela10[[#This Row],[GT]])/Tabela10[[#This Row],[GT]]</f>
        <v>1</v>
      </c>
      <c r="Q35" s="2">
        <f>ABS(Tabela10[[#This Row],[Calorie Cue AI]]-Tabela10[[#This Row],[GT]])/Tabela10[[#This Row],[GT]]</f>
        <v>8.4507042253521125E-2</v>
      </c>
    </row>
    <row r="36" spans="1:17" x14ac:dyDescent="0.35">
      <c r="A36" s="1">
        <v>9</v>
      </c>
      <c r="B36" t="s">
        <v>1</v>
      </c>
      <c r="C36">
        <v>31</v>
      </c>
      <c r="D36">
        <v>75</v>
      </c>
      <c r="E36">
        <v>108</v>
      </c>
      <c r="F36">
        <v>88</v>
      </c>
      <c r="G36">
        <v>94</v>
      </c>
      <c r="H36">
        <v>27</v>
      </c>
      <c r="K36" s="10">
        <v>9</v>
      </c>
      <c r="L36" s="4" t="s">
        <v>1</v>
      </c>
      <c r="M36" s="13">
        <f>ABS(Tabela10[[#This Row],[Nutri AI-  Photo+ Caption Input]]-Tabela10[[#This Row],[GT]])/Tabela10[[#This Row],[GT]]</f>
        <v>1.4193548387096775</v>
      </c>
      <c r="N36" s="2">
        <f>ABS(Tabela10[[#This Row],[Nutri AI- Photo input only]]-Tabela10[[#This Row],[GT]])/Tabela10[[#This Row],[GT]]</f>
        <v>2.4838709677419355</v>
      </c>
      <c r="O36" s="2">
        <f>ABS(Tabela10[[#This Row],[arise]]-Tabela10[[#This Row],[GT]])/Tabela10[[#This Row],[GT]]</f>
        <v>1.8387096774193548</v>
      </c>
      <c r="P36" s="2">
        <f>ABS(Tabela10[[#This Row],[Calorix AI]]-Tabela10[[#This Row],[GT]])/Tabela10[[#This Row],[GT]]</f>
        <v>2.032258064516129</v>
      </c>
      <c r="Q36" s="2">
        <f>ABS(Tabela10[[#This Row],[Calorie Cue AI]]-Tabela10[[#This Row],[GT]])/Tabela10[[#This Row],[GT]]</f>
        <v>0.12903225806451613</v>
      </c>
    </row>
    <row r="37" spans="1:17" x14ac:dyDescent="0.35">
      <c r="A37" s="1">
        <v>9</v>
      </c>
      <c r="B37" t="s">
        <v>2</v>
      </c>
      <c r="C37">
        <v>17</v>
      </c>
      <c r="D37">
        <v>18</v>
      </c>
      <c r="E37">
        <v>36</v>
      </c>
      <c r="F37">
        <v>38</v>
      </c>
      <c r="G37">
        <v>31</v>
      </c>
      <c r="H37">
        <v>24</v>
      </c>
      <c r="K37" s="9">
        <v>9</v>
      </c>
      <c r="L37" s="5" t="s">
        <v>2</v>
      </c>
      <c r="M37" s="14">
        <f>ABS(Tabela10[[#This Row],[Nutri AI-  Photo+ Caption Input]]-Tabela10[[#This Row],[GT]])/Tabela10[[#This Row],[GT]]</f>
        <v>5.8823529411764705E-2</v>
      </c>
      <c r="N37" s="2">
        <f>ABS(Tabela10[[#This Row],[Nutri AI- Photo input only]]-Tabela10[[#This Row],[GT]])/Tabela10[[#This Row],[GT]]</f>
        <v>1.1176470588235294</v>
      </c>
      <c r="O37" s="2">
        <f>ABS(Tabela10[[#This Row],[arise]]-Tabela10[[#This Row],[GT]])/Tabela10[[#This Row],[GT]]</f>
        <v>1.2352941176470589</v>
      </c>
      <c r="P37" s="2">
        <f>ABS(Tabela10[[#This Row],[Calorix AI]]-Tabela10[[#This Row],[GT]])/Tabela10[[#This Row],[GT]]</f>
        <v>0.82352941176470584</v>
      </c>
      <c r="Q37" s="2">
        <f>ABS(Tabela10[[#This Row],[Calorie Cue AI]]-Tabela10[[#This Row],[GT]])/Tabela10[[#This Row],[GT]]</f>
        <v>0.41176470588235292</v>
      </c>
    </row>
    <row r="38" spans="1:17" x14ac:dyDescent="0.35">
      <c r="A38" s="1">
        <v>9</v>
      </c>
      <c r="B38" t="s">
        <v>3</v>
      </c>
      <c r="C38">
        <v>19</v>
      </c>
      <c r="D38">
        <v>16</v>
      </c>
      <c r="E38">
        <v>28</v>
      </c>
      <c r="F38">
        <v>23</v>
      </c>
      <c r="G38">
        <v>27</v>
      </c>
      <c r="H38">
        <v>19</v>
      </c>
      <c r="K38" s="10">
        <v>9</v>
      </c>
      <c r="L38" s="4" t="s">
        <v>3</v>
      </c>
      <c r="M38" s="13">
        <f>ABS(Tabela10[[#This Row],[Nutri AI-  Photo+ Caption Input]]-Tabela10[[#This Row],[GT]])/Tabela10[[#This Row],[GT]]</f>
        <v>0.15789473684210525</v>
      </c>
      <c r="N38" s="2">
        <f>ABS(Tabela10[[#This Row],[Nutri AI- Photo input only]]-Tabela10[[#This Row],[GT]])/Tabela10[[#This Row],[GT]]</f>
        <v>0.47368421052631576</v>
      </c>
      <c r="O38" s="2">
        <f>ABS(Tabela10[[#This Row],[arise]]-Tabela10[[#This Row],[GT]])/Tabela10[[#This Row],[GT]]</f>
        <v>0.21052631578947367</v>
      </c>
      <c r="P38" s="2">
        <f>ABS(Tabela10[[#This Row],[Calorix AI]]-Tabela10[[#This Row],[GT]])/Tabela10[[#This Row],[GT]]</f>
        <v>0.42105263157894735</v>
      </c>
      <c r="Q38" s="2">
        <f>ABS(Tabela10[[#This Row],[Calorie Cue AI]]-Tabela10[[#This Row],[GT]])/Tabela10[[#This Row],[GT]]</f>
        <v>0</v>
      </c>
    </row>
    <row r="39" spans="1:17" x14ac:dyDescent="0.35">
      <c r="A39" s="1">
        <v>10</v>
      </c>
      <c r="B39" t="s">
        <v>0</v>
      </c>
      <c r="C39">
        <v>380</v>
      </c>
      <c r="D39">
        <v>380</v>
      </c>
      <c r="E39">
        <v>320</v>
      </c>
      <c r="F39">
        <v>406</v>
      </c>
      <c r="G39">
        <v>320</v>
      </c>
      <c r="H39">
        <v>342</v>
      </c>
      <c r="K39" s="9">
        <v>10</v>
      </c>
      <c r="L39" s="5" t="s">
        <v>0</v>
      </c>
      <c r="M39" s="14">
        <f>ABS(Tabela10[[#This Row],[Nutri AI-  Photo+ Caption Input]]-Tabela10[[#This Row],[GT]])/Tabela10[[#This Row],[GT]]</f>
        <v>0</v>
      </c>
      <c r="N39" s="2">
        <f>ABS(Tabela10[[#This Row],[Nutri AI- Photo input only]]-Tabela10[[#This Row],[GT]])/Tabela10[[#This Row],[GT]]</f>
        <v>0.15789473684210525</v>
      </c>
      <c r="O39" s="2">
        <f>ABS(Tabela10[[#This Row],[arise]]-Tabela10[[#This Row],[GT]])/Tabela10[[#This Row],[GT]]</f>
        <v>6.8421052631578952E-2</v>
      </c>
      <c r="P39" s="2">
        <f>ABS(Tabela10[[#This Row],[Calorix AI]]-Tabela10[[#This Row],[GT]])/Tabela10[[#This Row],[GT]]</f>
        <v>0.15789473684210525</v>
      </c>
      <c r="Q39" s="2">
        <f>ABS(Tabela10[[#This Row],[Calorie Cue AI]]-Tabela10[[#This Row],[GT]])/Tabela10[[#This Row],[GT]]</f>
        <v>0.1</v>
      </c>
    </row>
    <row r="40" spans="1:17" x14ac:dyDescent="0.35">
      <c r="A40" s="1">
        <v>10</v>
      </c>
      <c r="B40" t="s">
        <v>1</v>
      </c>
      <c r="C40">
        <v>32</v>
      </c>
      <c r="D40">
        <v>45</v>
      </c>
      <c r="E40">
        <v>45</v>
      </c>
      <c r="F40">
        <v>46</v>
      </c>
      <c r="G40">
        <v>34</v>
      </c>
      <c r="H40">
        <v>33</v>
      </c>
      <c r="K40" s="10">
        <v>10</v>
      </c>
      <c r="L40" s="4" t="s">
        <v>1</v>
      </c>
      <c r="M40" s="13">
        <f>ABS(Tabela10[[#This Row],[Nutri AI-  Photo+ Caption Input]]-Tabela10[[#This Row],[GT]])/Tabela10[[#This Row],[GT]]</f>
        <v>0.40625</v>
      </c>
      <c r="N40" s="2">
        <f>ABS(Tabela10[[#This Row],[Nutri AI- Photo input only]]-Tabela10[[#This Row],[GT]])/Tabela10[[#This Row],[GT]]</f>
        <v>0.40625</v>
      </c>
      <c r="O40" s="2">
        <f>ABS(Tabela10[[#This Row],[arise]]-Tabela10[[#This Row],[GT]])/Tabela10[[#This Row],[GT]]</f>
        <v>0.4375</v>
      </c>
      <c r="P40" s="2">
        <f>ABS(Tabela10[[#This Row],[Calorix AI]]-Tabela10[[#This Row],[GT]])/Tabela10[[#This Row],[GT]]</f>
        <v>6.25E-2</v>
      </c>
      <c r="Q40" s="2">
        <f>ABS(Tabela10[[#This Row],[Calorie Cue AI]]-Tabela10[[#This Row],[GT]])/Tabela10[[#This Row],[GT]]</f>
        <v>3.125E-2</v>
      </c>
    </row>
    <row r="41" spans="1:17" x14ac:dyDescent="0.35">
      <c r="A41" s="1">
        <v>10</v>
      </c>
      <c r="B41" t="s">
        <v>2</v>
      </c>
      <c r="C41">
        <v>15</v>
      </c>
      <c r="D41">
        <v>14</v>
      </c>
      <c r="E41">
        <v>14</v>
      </c>
      <c r="F41">
        <v>21</v>
      </c>
      <c r="G41">
        <v>15</v>
      </c>
      <c r="H41">
        <v>17</v>
      </c>
      <c r="K41" s="9">
        <v>10</v>
      </c>
      <c r="L41" s="5" t="s">
        <v>2</v>
      </c>
      <c r="M41" s="14">
        <f>ABS(Tabela10[[#This Row],[Nutri AI-  Photo+ Caption Input]]-Tabela10[[#This Row],[GT]])/Tabela10[[#This Row],[GT]]</f>
        <v>6.6666666666666666E-2</v>
      </c>
      <c r="N41" s="2">
        <f>ABS(Tabela10[[#This Row],[Nutri AI- Photo input only]]-Tabela10[[#This Row],[GT]])/Tabela10[[#This Row],[GT]]</f>
        <v>6.6666666666666666E-2</v>
      </c>
      <c r="O41" s="2">
        <f>ABS(Tabela10[[#This Row],[arise]]-Tabela10[[#This Row],[GT]])/Tabela10[[#This Row],[GT]]</f>
        <v>0.4</v>
      </c>
      <c r="P41" s="2">
        <f>ABS(Tabela10[[#This Row],[Calorix AI]]-Tabela10[[#This Row],[GT]])/Tabela10[[#This Row],[GT]]</f>
        <v>0</v>
      </c>
      <c r="Q41" s="2">
        <f>ABS(Tabela10[[#This Row],[Calorie Cue AI]]-Tabela10[[#This Row],[GT]])/Tabela10[[#This Row],[GT]]</f>
        <v>0.13333333333333333</v>
      </c>
    </row>
    <row r="42" spans="1:17" x14ac:dyDescent="0.35">
      <c r="A42" s="1">
        <v>10</v>
      </c>
      <c r="B42" t="s">
        <v>3</v>
      </c>
      <c r="C42">
        <v>22</v>
      </c>
      <c r="D42">
        <v>16</v>
      </c>
      <c r="E42">
        <v>10</v>
      </c>
      <c r="F42">
        <v>14</v>
      </c>
      <c r="G42">
        <v>14</v>
      </c>
      <c r="H42">
        <v>15</v>
      </c>
      <c r="K42" s="10">
        <v>10</v>
      </c>
      <c r="L42" s="4" t="s">
        <v>3</v>
      </c>
      <c r="M42" s="13">
        <f>ABS(Tabela10[[#This Row],[Nutri AI-  Photo+ Caption Input]]-Tabela10[[#This Row],[GT]])/Tabela10[[#This Row],[GT]]</f>
        <v>0.27272727272727271</v>
      </c>
      <c r="N42" s="2">
        <f>ABS(Tabela10[[#This Row],[Nutri AI- Photo input only]]-Tabela10[[#This Row],[GT]])/Tabela10[[#This Row],[GT]]</f>
        <v>0.54545454545454541</v>
      </c>
      <c r="O42" s="2">
        <f>ABS(Tabela10[[#This Row],[arise]]-Tabela10[[#This Row],[GT]])/Tabela10[[#This Row],[GT]]</f>
        <v>0.36363636363636365</v>
      </c>
      <c r="P42" s="2">
        <f>ABS(Tabela10[[#This Row],[Calorix AI]]-Tabela10[[#This Row],[GT]])/Tabela10[[#This Row],[GT]]</f>
        <v>0.36363636363636365</v>
      </c>
      <c r="Q42" s="2">
        <f>ABS(Tabela10[[#This Row],[Calorie Cue AI]]-Tabela10[[#This Row],[GT]])/Tabela10[[#This Row],[GT]]</f>
        <v>0.31818181818181818</v>
      </c>
    </row>
    <row r="43" spans="1:17" x14ac:dyDescent="0.35">
      <c r="N43" s="2"/>
    </row>
  </sheetData>
  <phoneticPr fontId="3" type="noConversion"/>
  <conditionalFormatting sqref="A2:H42">
    <cfRule type="expression" dxfId="4" priority="5">
      <formula>"B=""Calories"""</formula>
    </cfRule>
  </conditionalFormatting>
  <conditionalFormatting sqref="K2:M2 K4:M42 K3:L3">
    <cfRule type="expression" dxfId="3" priority="4">
      <formula>"B=""Calories"""</formula>
    </cfRule>
  </conditionalFormatting>
  <conditionalFormatting sqref="N2:Q2">
    <cfRule type="expression" dxfId="2" priority="3">
      <formula>"B=""Calories"""</formula>
    </cfRule>
  </conditionalFormatting>
  <conditionalFormatting sqref="V2:Y2">
    <cfRule type="expression" dxfId="1" priority="2">
      <formula>"B=""Calories"""</formula>
    </cfRule>
  </conditionalFormatting>
  <conditionalFormatting sqref="U2">
    <cfRule type="expression" dxfId="0" priority="1">
      <formula>"B=""Calories"""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043A32-750E-4D79-9604-B3ADECC6C7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PhotoInput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Silva</dc:creator>
  <cp:lastModifiedBy>Joana Silva</cp:lastModifiedBy>
  <dcterms:created xsi:type="dcterms:W3CDTF">2026-01-27T13:54:26Z</dcterms:created>
  <dcterms:modified xsi:type="dcterms:W3CDTF">2026-01-29T23:37:33Z</dcterms:modified>
</cp:coreProperties>
</file>